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25" yWindow="0" windowWidth="25785" windowHeight="15345" tabRatio="600" firstSheet="3" autoFilterDateGrouping="1"/>
  </bookViews>
  <sheets>
    <sheet xmlns:r="http://schemas.openxmlformats.org/officeDocument/2006/relationships" name="발주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9">
    <font>
      <name val="Calibri"/>
      <color theme="1"/>
      <sz val="11"/>
      <scheme val="minor"/>
    </font>
    <font>
      <name val="Malgun Gothic"/>
      <charset val="129"/>
      <family val="3"/>
      <b val="1"/>
      <color rgb="FF464646"/>
      <sz val="24"/>
    </font>
    <font>
      <name val="Malgun Gothic"/>
      <charset val="129"/>
      <family val="3"/>
      <color theme="1"/>
      <sz val="10"/>
    </font>
    <font>
      <name val="Calibri"/>
      <family val="2"/>
      <sz val="11"/>
    </font>
    <font>
      <name val="Malgun Gothic"/>
      <charset val="129"/>
      <family val="3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Malgun Gothic"/>
      <charset val="129"/>
      <family val="3"/>
      <strike val="1"/>
      <color theme="1"/>
      <sz val="10"/>
    </font>
    <font>
      <name val="Calibri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EDEDE"/>
        <bgColor rgb="FFDEDEDE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31" fontId="2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 wrapText="1"/>
    </xf>
    <xf numFmtId="0" fontId="3" fillId="0" borderId="12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2" fillId="0" borderId="3" applyAlignment="1" pivotButton="0" quotePrefix="0" xfId="0">
      <alignment vertical="center"/>
    </xf>
    <xf numFmtId="164" fontId="2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 wrapText="1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2" fillId="0" borderId="9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3" fontId="7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2" fillId="2" borderId="15" applyAlignment="1" pivotButton="0" quotePrefix="0" xfId="0">
      <alignment vertical="center" wrapText="1"/>
    </xf>
    <xf numFmtId="0" fontId="2" fillId="2" borderId="1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0" borderId="15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164" fontId="2" fillId="0" borderId="15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center"/>
    </xf>
    <xf numFmtId="0" fontId="2" fillId="0" borderId="15" applyAlignment="1" pivotButton="0" quotePrefix="0" xfId="0">
      <alignment vertical="center"/>
    </xf>
    <xf numFmtId="0" fontId="0" fillId="0" borderId="9" pivotButton="0" quotePrefix="0" xfId="0"/>
    <xf numFmtId="0" fontId="2" fillId="0" borderId="10" applyAlignment="1" pivotButton="0" quotePrefix="0" xfId="0">
      <alignment horizontal="left" vertical="center"/>
    </xf>
    <xf numFmtId="0" fontId="0" fillId="0" borderId="10" pivotButton="0" quotePrefix="0" xfId="0"/>
    <xf numFmtId="0" fontId="2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9"/>
  <sheetViews>
    <sheetView showGridLines="0" workbookViewId="0">
      <selection activeCell="C18" sqref="C18:T18"/>
    </sheetView>
  </sheetViews>
  <sheetFormatPr baseColWidth="8" defaultColWidth="14.42578125" defaultRowHeight="15" customHeight="1"/>
  <cols>
    <col width="2.140625" customWidth="1" style="54" min="1" max="40"/>
  </cols>
  <sheetData>
    <row r="1" ht="16.5" customHeight="1" s="54">
      <c r="A1" s="11" t="inlineStr">
        <is>
          <t>발 주 서</t>
        </is>
      </c>
    </row>
    <row r="2" ht="16.5" customHeight="1" s="54"/>
    <row r="3" ht="16.5" customHeight="1" s="54"/>
    <row r="4" ht="16.5" customHeight="1" s="5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</row>
    <row r="5" ht="19.5" customHeight="1" s="54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44" t="n"/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</row>
    <row r="6" ht="19.5" customHeight="1" s="54">
      <c r="A6" s="2" t="n"/>
      <c r="B6" s="15" t="inlineStr">
        <is>
          <t xml:space="preserve">발 주 일 : </t>
        </is>
      </c>
      <c r="F6" s="16" t="n"/>
      <c r="Q6" s="2" t="n"/>
      <c r="R6" s="56" t="inlineStr">
        <is>
          <t>.</t>
        </is>
      </c>
      <c r="S6" s="57" t="inlineStr">
        <is>
          <t>등록번호</t>
        </is>
      </c>
      <c r="T6" s="58" t="n"/>
      <c r="U6" s="58" t="n"/>
      <c r="V6" s="59" t="n"/>
      <c r="W6" s="60" t="inlineStr">
        <is>
          <t>606-02-14529</t>
        </is>
      </c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9" t="n"/>
    </row>
    <row r="7" ht="19.5" customHeight="1" s="54">
      <c r="A7" s="2" t="n"/>
      <c r="B7" s="61" t="n"/>
      <c r="O7" s="2" t="n"/>
      <c r="P7" s="2" t="n"/>
      <c r="Q7" s="2" t="n"/>
      <c r="R7" s="62" t="n"/>
      <c r="S7" s="57" t="inlineStr">
        <is>
          <t>상 호 명</t>
        </is>
      </c>
      <c r="T7" s="58" t="n"/>
      <c r="U7" s="58" t="n"/>
      <c r="V7" s="59" t="n"/>
      <c r="W7" s="60" t="inlineStr">
        <is>
          <t>우성정밀</t>
        </is>
      </c>
      <c r="X7" s="58" t="n"/>
      <c r="Y7" s="58" t="n"/>
      <c r="Z7" s="58" t="n"/>
      <c r="AA7" s="58" t="n"/>
      <c r="AB7" s="58" t="n"/>
      <c r="AC7" s="59" t="n"/>
      <c r="AD7" s="57" t="inlineStr">
        <is>
          <t>대 표 자</t>
        </is>
      </c>
      <c r="AE7" s="58" t="n"/>
      <c r="AF7" s="58" t="n"/>
      <c r="AG7" s="59" t="n"/>
      <c r="AH7" s="60" t="inlineStr">
        <is>
          <t>김태식</t>
        </is>
      </c>
      <c r="AI7" s="58" t="n"/>
      <c r="AJ7" s="58" t="n"/>
      <c r="AK7" s="58" t="n"/>
      <c r="AL7" s="58" t="n"/>
      <c r="AM7" s="58" t="n"/>
      <c r="AN7" s="59" t="n"/>
    </row>
    <row r="8" ht="19.5" customHeight="1" s="54">
      <c r="A8" s="2" t="n"/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3" t="inlineStr">
        <is>
          <t>귀하</t>
        </is>
      </c>
      <c r="P8" s="55" t="n"/>
      <c r="Q8" s="2" t="n"/>
      <c r="R8" s="62" t="n"/>
      <c r="S8" s="57" t="inlineStr">
        <is>
          <t>주     소</t>
        </is>
      </c>
      <c r="T8" s="58" t="n"/>
      <c r="U8" s="58" t="n"/>
      <c r="V8" s="59" t="n"/>
      <c r="W8" s="60" t="inlineStr">
        <is>
          <t>부산시 기장군 정관상곡2길 25-27</t>
        </is>
      </c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9" t="n"/>
    </row>
    <row r="9" ht="19.5" customHeight="1" s="54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62" t="n"/>
      <c r="S9" s="57" t="inlineStr">
        <is>
          <t>업     태</t>
        </is>
      </c>
      <c r="T9" s="58" t="n"/>
      <c r="U9" s="58" t="n"/>
      <c r="V9" s="59" t="n"/>
      <c r="W9" s="60" t="inlineStr">
        <is>
          <t>제조</t>
        </is>
      </c>
      <c r="X9" s="58" t="n"/>
      <c r="Y9" s="58" t="n"/>
      <c r="Z9" s="58" t="n"/>
      <c r="AA9" s="58" t="n"/>
      <c r="AB9" s="58" t="n"/>
      <c r="AC9" s="59" t="n"/>
      <c r="AD9" s="57" t="inlineStr">
        <is>
          <t>종     목</t>
        </is>
      </c>
      <c r="AE9" s="58" t="n"/>
      <c r="AF9" s="58" t="n"/>
      <c r="AG9" s="59" t="n"/>
      <c r="AH9" s="60" t="inlineStr">
        <is>
          <t>자동차부품</t>
        </is>
      </c>
      <c r="AI9" s="58" t="n"/>
      <c r="AJ9" s="58" t="n"/>
      <c r="AK9" s="58" t="n"/>
      <c r="AL9" s="58" t="n"/>
      <c r="AM9" s="58" t="n"/>
      <c r="AN9" s="59" t="n"/>
    </row>
    <row r="10" ht="19.5" customHeight="1" s="54">
      <c r="A10" s="2" t="n"/>
      <c r="B10" s="15" t="inlineStr">
        <is>
          <t>아래와 같이 발주 합니다.</t>
        </is>
      </c>
      <c r="Q10" s="2" t="n"/>
      <c r="R10" s="63" t="n"/>
      <c r="S10" s="57" t="inlineStr">
        <is>
          <t>연 락 처</t>
        </is>
      </c>
      <c r="T10" s="58" t="n"/>
      <c r="U10" s="58" t="n"/>
      <c r="V10" s="59" t="n"/>
      <c r="W10" s="60" t="inlineStr">
        <is>
          <t>051-527-9963</t>
        </is>
      </c>
      <c r="X10" s="58" t="n"/>
      <c r="Y10" s="58" t="n"/>
      <c r="Z10" s="58" t="n"/>
      <c r="AA10" s="58" t="n"/>
      <c r="AB10" s="58" t="n"/>
      <c r="AC10" s="59" t="n"/>
      <c r="AD10" s="57" t="inlineStr">
        <is>
          <t>팩스번호</t>
        </is>
      </c>
      <c r="AE10" s="58" t="n"/>
      <c r="AF10" s="58" t="n"/>
      <c r="AG10" s="59" t="n"/>
      <c r="AH10" s="60" t="inlineStr">
        <is>
          <t>051-526-6024</t>
        </is>
      </c>
      <c r="AI10" s="58" t="n"/>
      <c r="AJ10" s="58" t="n"/>
      <c r="AK10" s="58" t="n"/>
      <c r="AL10" s="58" t="n"/>
      <c r="AM10" s="58" t="n"/>
      <c r="AN10" s="59" t="n"/>
    </row>
    <row r="11" ht="19.5" customHeight="1" s="54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9.5" customHeight="1" s="54">
      <c r="A12" s="22" t="inlineStr">
        <is>
          <t>발주금액 :</t>
        </is>
      </c>
      <c r="F12" s="64">
        <f>IF(ISERROR((NUMBERSTRING(X12,1))),"",(NUMBERSTRING(X12,1)))</f>
        <v/>
      </c>
      <c r="U12" s="61" t="inlineStr">
        <is>
          <t>원정</t>
        </is>
      </c>
      <c r="W12" s="61" t="inlineStr">
        <is>
          <t>(</t>
        </is>
      </c>
      <c r="X12" s="65">
        <f>IF(SUM(AB15:AJ34)=0,"",SUM(AB15:AJ34))</f>
        <v/>
      </c>
      <c r="AM12" s="61" t="inlineStr">
        <is>
          <t>)</t>
        </is>
      </c>
      <c r="AN12" s="4" t="n"/>
    </row>
    <row r="13" ht="19.5" customHeight="1" s="54"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" t="n"/>
    </row>
    <row r="14" ht="19.5" customHeight="1" s="54">
      <c r="A14" s="57" t="inlineStr">
        <is>
          <t>NO</t>
        </is>
      </c>
      <c r="B14" s="59" t="n"/>
      <c r="C14" s="57" t="inlineStr">
        <is>
          <t>품명</t>
        </is>
      </c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9" t="n"/>
      <c r="N14" s="57" t="inlineStr">
        <is>
          <t>규격</t>
        </is>
      </c>
      <c r="O14" s="58" t="n"/>
      <c r="P14" s="58" t="n"/>
      <c r="Q14" s="58" t="n"/>
      <c r="R14" s="58" t="n"/>
      <c r="S14" s="58" t="n"/>
      <c r="T14" s="59" t="n"/>
      <c r="U14" s="57" t="inlineStr">
        <is>
          <t>수량</t>
        </is>
      </c>
      <c r="V14" s="58" t="n"/>
      <c r="W14" s="59" t="n"/>
      <c r="X14" s="57" t="inlineStr">
        <is>
          <t>단가</t>
        </is>
      </c>
      <c r="Y14" s="58" t="n"/>
      <c r="Z14" s="58" t="n"/>
      <c r="AA14" s="59" t="n"/>
      <c r="AB14" s="57" t="inlineStr">
        <is>
          <t>공급가액</t>
        </is>
      </c>
      <c r="AC14" s="58" t="n"/>
      <c r="AD14" s="58" t="n"/>
      <c r="AE14" s="58" t="n"/>
      <c r="AF14" s="59" t="n"/>
      <c r="AG14" s="57" t="inlineStr">
        <is>
          <t>세액</t>
        </is>
      </c>
      <c r="AH14" s="58" t="n"/>
      <c r="AI14" s="58" t="n"/>
      <c r="AJ14" s="59" t="n"/>
      <c r="AK14" s="57" t="inlineStr">
        <is>
          <t>비고</t>
        </is>
      </c>
      <c r="AL14" s="58" t="n"/>
      <c r="AM14" s="58" t="n"/>
      <c r="AN14" s="59" t="n"/>
    </row>
    <row r="15" ht="19.5" customHeight="1" s="54">
      <c r="A15" s="60" t="n">
        <v>1</v>
      </c>
      <c r="B15" s="59" t="n"/>
      <c r="C15" s="66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9" t="n"/>
      <c r="N15" s="42" t="n"/>
      <c r="O15" s="58" t="n"/>
      <c r="P15" s="67" t="n"/>
      <c r="Q15" s="58" t="n"/>
      <c r="R15" s="58" t="n"/>
      <c r="S15" s="58" t="n"/>
      <c r="T15" s="59" t="n"/>
      <c r="U15" s="68" t="n"/>
      <c r="V15" s="58" t="n"/>
      <c r="W15" s="59" t="n"/>
      <c r="X15" s="69" t="n"/>
      <c r="Y15" s="58" t="n"/>
      <c r="Z15" s="58" t="n"/>
      <c r="AA15" s="59" t="n"/>
      <c r="AB15" s="69">
        <f>IF(U15*X15&lt;=0,"",U15*X15)</f>
        <v/>
      </c>
      <c r="AC15" s="58" t="n"/>
      <c r="AD15" s="58" t="n"/>
      <c r="AE15" s="58" t="n"/>
      <c r="AF15" s="59" t="n"/>
      <c r="AG15" s="69">
        <f>IF(AB15="","",AB15*0.1)</f>
        <v/>
      </c>
      <c r="AH15" s="58" t="n"/>
      <c r="AI15" s="58" t="n"/>
      <c r="AJ15" s="59" t="n"/>
      <c r="AK15" s="60" t="n"/>
      <c r="AL15" s="58" t="n"/>
      <c r="AM15" s="58" t="n"/>
      <c r="AN15" s="59" t="n"/>
    </row>
    <row r="16" ht="19.5" customHeight="1" s="54">
      <c r="A16" s="60" t="n">
        <v>2</v>
      </c>
      <c r="B16" s="59" t="n"/>
      <c r="C16" s="66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9" t="n"/>
      <c r="N16" s="42" t="n"/>
      <c r="O16" s="58" t="n"/>
      <c r="P16" s="67" t="n"/>
      <c r="Q16" s="58" t="n"/>
      <c r="R16" s="58" t="n"/>
      <c r="S16" s="58" t="n"/>
      <c r="T16" s="59" t="n"/>
      <c r="U16" s="68" t="n"/>
      <c r="V16" s="58" t="n"/>
      <c r="W16" s="59" t="n"/>
      <c r="X16" s="69" t="n"/>
      <c r="Y16" s="58" t="n"/>
      <c r="Z16" s="58" t="n"/>
      <c r="AA16" s="59" t="n"/>
      <c r="AB16" s="69">
        <f>IF(U16*X16&lt;=0,"",U16*X16)</f>
        <v/>
      </c>
      <c r="AC16" s="58" t="n"/>
      <c r="AD16" s="58" t="n"/>
      <c r="AE16" s="58" t="n"/>
      <c r="AF16" s="59" t="n"/>
      <c r="AG16" s="69">
        <f>IF(AB16="","",AB16*0.1)</f>
        <v/>
      </c>
      <c r="AH16" s="58" t="n"/>
      <c r="AI16" s="58" t="n"/>
      <c r="AJ16" s="59" t="n"/>
      <c r="AK16" s="60" t="n"/>
      <c r="AL16" s="58" t="n"/>
      <c r="AM16" s="58" t="n"/>
      <c r="AN16" s="59" t="n"/>
    </row>
    <row r="17" ht="19.5" customHeight="1" s="54">
      <c r="A17" s="60" t="n">
        <v>3</v>
      </c>
      <c r="B17" s="59" t="n"/>
      <c r="C17" s="66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9" t="n"/>
      <c r="N17" s="42" t="n"/>
      <c r="O17" s="58" t="n"/>
      <c r="P17" s="67" t="n"/>
      <c r="Q17" s="58" t="n"/>
      <c r="R17" s="58" t="n"/>
      <c r="S17" s="58" t="n"/>
      <c r="T17" s="59" t="n"/>
      <c r="U17" s="68" t="n"/>
      <c r="V17" s="58" t="n"/>
      <c r="W17" s="59" t="n"/>
      <c r="X17" s="69" t="n"/>
      <c r="Y17" s="58" t="n"/>
      <c r="Z17" s="58" t="n"/>
      <c r="AA17" s="59" t="n"/>
      <c r="AB17" s="69">
        <f>IF(U17*X17&lt;=0,"",U17*X17)</f>
        <v/>
      </c>
      <c r="AC17" s="58" t="n"/>
      <c r="AD17" s="58" t="n"/>
      <c r="AE17" s="58" t="n"/>
      <c r="AF17" s="59" t="n"/>
      <c r="AG17" s="69">
        <f>IF(AB17="","",AB17*0.1)</f>
        <v/>
      </c>
      <c r="AH17" s="58" t="n"/>
      <c r="AI17" s="58" t="n"/>
      <c r="AJ17" s="59" t="n"/>
      <c r="AK17" s="60" t="n"/>
      <c r="AL17" s="58" t="n"/>
      <c r="AM17" s="58" t="n"/>
      <c r="AN17" s="59" t="n"/>
    </row>
    <row r="18" ht="19.5" customHeight="1" s="54">
      <c r="A18" s="60" t="n">
        <v>4</v>
      </c>
      <c r="B18" s="59" t="n"/>
      <c r="C18" s="66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9" t="n"/>
      <c r="N18" s="42" t="n"/>
      <c r="O18" s="58" t="n"/>
      <c r="P18" s="67" t="n"/>
      <c r="Q18" s="58" t="n"/>
      <c r="R18" s="58" t="n"/>
      <c r="S18" s="58" t="n"/>
      <c r="T18" s="59" t="n"/>
      <c r="U18" s="68" t="n"/>
      <c r="V18" s="58" t="n"/>
      <c r="W18" s="59" t="n"/>
      <c r="X18" s="69" t="n"/>
      <c r="Y18" s="58" t="n"/>
      <c r="Z18" s="58" t="n"/>
      <c r="AA18" s="59" t="n"/>
      <c r="AB18" s="69">
        <f>IF(U18*X18&lt;=0,"",U18*X18)</f>
        <v/>
      </c>
      <c r="AC18" s="58" t="n"/>
      <c r="AD18" s="58" t="n"/>
      <c r="AE18" s="58" t="n"/>
      <c r="AF18" s="59" t="n"/>
      <c r="AG18" s="69">
        <f>IF(AB18="","",AB18*0.1)</f>
        <v/>
      </c>
      <c r="AH18" s="58" t="n"/>
      <c r="AI18" s="58" t="n"/>
      <c r="AJ18" s="59" t="n"/>
      <c r="AK18" s="60" t="n"/>
      <c r="AL18" s="58" t="n"/>
      <c r="AM18" s="58" t="n"/>
      <c r="AN18" s="59" t="n"/>
    </row>
    <row r="19" ht="19.5" customHeight="1" s="54">
      <c r="A19" s="60" t="n">
        <v>5</v>
      </c>
      <c r="B19" s="59" t="n"/>
      <c r="C19" s="66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9" t="n"/>
      <c r="N19" s="42" t="n"/>
      <c r="O19" s="58" t="n"/>
      <c r="P19" s="67" t="n"/>
      <c r="Q19" s="58" t="n"/>
      <c r="R19" s="58" t="n"/>
      <c r="S19" s="58" t="n"/>
      <c r="T19" s="59" t="n"/>
      <c r="U19" s="68" t="n"/>
      <c r="V19" s="58" t="n"/>
      <c r="W19" s="59" t="n"/>
      <c r="X19" s="69" t="n"/>
      <c r="Y19" s="58" t="n"/>
      <c r="Z19" s="58" t="n"/>
      <c r="AA19" s="59" t="n"/>
      <c r="AB19" s="69">
        <f>IF(U19*X19&lt;=0,"",U19*X19)</f>
        <v/>
      </c>
      <c r="AC19" s="58" t="n"/>
      <c r="AD19" s="58" t="n"/>
      <c r="AE19" s="58" t="n"/>
      <c r="AF19" s="59" t="n"/>
      <c r="AG19" s="69">
        <f>IF(AB19="","",AB19*0.1)</f>
        <v/>
      </c>
      <c r="AH19" s="58" t="n"/>
      <c r="AI19" s="58" t="n"/>
      <c r="AJ19" s="59" t="n"/>
      <c r="AK19" s="60" t="n"/>
      <c r="AL19" s="58" t="n"/>
      <c r="AM19" s="58" t="n"/>
      <c r="AN19" s="59" t="n"/>
    </row>
    <row r="20" ht="19.5" customHeight="1" s="54">
      <c r="A20" s="60" t="n">
        <v>6</v>
      </c>
      <c r="B20" s="59" t="n"/>
      <c r="C20" s="66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9" t="n"/>
      <c r="N20" s="42" t="n"/>
      <c r="O20" s="58" t="n"/>
      <c r="P20" s="67" t="n"/>
      <c r="Q20" s="58" t="n"/>
      <c r="R20" s="58" t="n"/>
      <c r="S20" s="58" t="n"/>
      <c r="T20" s="59" t="n"/>
      <c r="U20" s="68" t="n"/>
      <c r="V20" s="58" t="n"/>
      <c r="W20" s="59" t="n"/>
      <c r="X20" s="69" t="n"/>
      <c r="Y20" s="58" t="n"/>
      <c r="Z20" s="58" t="n"/>
      <c r="AA20" s="59" t="n"/>
      <c r="AB20" s="69">
        <f>IF(U20*X20&lt;=0,"",U20*X20)</f>
        <v/>
      </c>
      <c r="AC20" s="58" t="n"/>
      <c r="AD20" s="58" t="n"/>
      <c r="AE20" s="58" t="n"/>
      <c r="AF20" s="59" t="n"/>
      <c r="AG20" s="69">
        <f>IF(AB20="","",AB20*0.1)</f>
        <v/>
      </c>
      <c r="AH20" s="58" t="n"/>
      <c r="AI20" s="58" t="n"/>
      <c r="AJ20" s="59" t="n"/>
      <c r="AK20" s="60" t="n"/>
      <c r="AL20" s="58" t="n"/>
      <c r="AM20" s="58" t="n"/>
      <c r="AN20" s="59" t="n"/>
    </row>
    <row r="21" ht="19.5" customHeight="1" s="54">
      <c r="A21" s="60" t="n">
        <v>7</v>
      </c>
      <c r="B21" s="59" t="n"/>
      <c r="C21" s="66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9" t="n"/>
      <c r="N21" s="42" t="n"/>
      <c r="O21" s="58" t="n"/>
      <c r="P21" s="67" t="n"/>
      <c r="Q21" s="58" t="n"/>
      <c r="R21" s="58" t="n"/>
      <c r="S21" s="58" t="n"/>
      <c r="T21" s="59" t="n"/>
      <c r="U21" s="68" t="n"/>
      <c r="V21" s="58" t="n"/>
      <c r="W21" s="59" t="n"/>
      <c r="X21" s="69" t="n"/>
      <c r="Y21" s="58" t="n"/>
      <c r="Z21" s="58" t="n"/>
      <c r="AA21" s="59" t="n"/>
      <c r="AB21" s="69">
        <f>IF(U21*X21&lt;=0,"",U21*X21)</f>
        <v/>
      </c>
      <c r="AC21" s="58" t="n"/>
      <c r="AD21" s="58" t="n"/>
      <c r="AE21" s="58" t="n"/>
      <c r="AF21" s="59" t="n"/>
      <c r="AG21" s="69">
        <f>IF(AB21="","",AB21*0.1)</f>
        <v/>
      </c>
      <c r="AH21" s="58" t="n"/>
      <c r="AI21" s="58" t="n"/>
      <c r="AJ21" s="59" t="n"/>
      <c r="AK21" s="70" t="n"/>
      <c r="AL21" s="58" t="n"/>
      <c r="AM21" s="58" t="n"/>
      <c r="AN21" s="59" t="n"/>
    </row>
    <row r="22" ht="19.5" customHeight="1" s="54">
      <c r="A22" s="60" t="n">
        <v>8</v>
      </c>
      <c r="B22" s="59" t="n"/>
      <c r="C22" s="66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9" t="n"/>
      <c r="N22" s="42" t="n"/>
      <c r="O22" s="58" t="n"/>
      <c r="P22" s="67" t="n"/>
      <c r="Q22" s="58" t="n"/>
      <c r="R22" s="58" t="n"/>
      <c r="S22" s="58" t="n"/>
      <c r="T22" s="59" t="n"/>
      <c r="U22" s="68" t="n"/>
      <c r="V22" s="58" t="n"/>
      <c r="W22" s="59" t="n"/>
      <c r="X22" s="69" t="n"/>
      <c r="Y22" s="58" t="n"/>
      <c r="Z22" s="58" t="n"/>
      <c r="AA22" s="59" t="n"/>
      <c r="AB22" s="69">
        <f>IF(U22*X22&lt;=0,"",U22*X22)</f>
        <v/>
      </c>
      <c r="AC22" s="58" t="n"/>
      <c r="AD22" s="58" t="n"/>
      <c r="AE22" s="58" t="n"/>
      <c r="AF22" s="59" t="n"/>
      <c r="AG22" s="69">
        <f>IF(AB22="","",AB22*0.1)</f>
        <v/>
      </c>
      <c r="AH22" s="58" t="n"/>
      <c r="AI22" s="58" t="n"/>
      <c r="AJ22" s="59" t="n"/>
      <c r="AK22" s="60" t="n"/>
      <c r="AL22" s="58" t="n"/>
      <c r="AM22" s="58" t="n"/>
      <c r="AN22" s="59" t="n"/>
    </row>
    <row r="23" ht="19.5" customHeight="1" s="54">
      <c r="A23" s="60" t="n">
        <v>9</v>
      </c>
      <c r="B23" s="59" t="n"/>
      <c r="C23" s="66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9" t="n"/>
      <c r="N23" s="42" t="n"/>
      <c r="O23" s="58" t="n"/>
      <c r="P23" s="67" t="n"/>
      <c r="Q23" s="58" t="n"/>
      <c r="R23" s="58" t="n"/>
      <c r="S23" s="58" t="n"/>
      <c r="T23" s="59" t="n"/>
      <c r="U23" s="68" t="n"/>
      <c r="V23" s="58" t="n"/>
      <c r="W23" s="59" t="n"/>
      <c r="X23" s="69" t="n"/>
      <c r="Y23" s="58" t="n"/>
      <c r="Z23" s="58" t="n"/>
      <c r="AA23" s="59" t="n"/>
      <c r="AB23" s="69">
        <f>IF(U23*X23&lt;=0,"",U23*X23)</f>
        <v/>
      </c>
      <c r="AC23" s="58" t="n"/>
      <c r="AD23" s="58" t="n"/>
      <c r="AE23" s="58" t="n"/>
      <c r="AF23" s="59" t="n"/>
      <c r="AG23" s="69">
        <f>IF(AB23="","",AB23*0.1)</f>
        <v/>
      </c>
      <c r="AH23" s="58" t="n"/>
      <c r="AI23" s="58" t="n"/>
      <c r="AJ23" s="59" t="n"/>
      <c r="AK23" s="60" t="n"/>
      <c r="AL23" s="58" t="n"/>
      <c r="AM23" s="58" t="n"/>
      <c r="AN23" s="59" t="n"/>
    </row>
    <row r="24" ht="19.5" customHeight="1" s="54">
      <c r="A24" s="60" t="n">
        <v>10</v>
      </c>
      <c r="B24" s="59" t="n"/>
      <c r="C24" s="66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9" t="n"/>
      <c r="N24" s="42" t="n"/>
      <c r="O24" s="58" t="n"/>
      <c r="P24" s="67" t="n"/>
      <c r="Q24" s="58" t="n"/>
      <c r="R24" s="58" t="n"/>
      <c r="S24" s="58" t="n"/>
      <c r="T24" s="59" t="n"/>
      <c r="U24" s="68" t="n"/>
      <c r="V24" s="58" t="n"/>
      <c r="W24" s="59" t="n"/>
      <c r="X24" s="69" t="n"/>
      <c r="Y24" s="58" t="n"/>
      <c r="Z24" s="58" t="n"/>
      <c r="AA24" s="59" t="n"/>
      <c r="AB24" s="69">
        <f>IF(U24*X24&lt;=0,"",U24*X24)</f>
        <v/>
      </c>
      <c r="AC24" s="58" t="n"/>
      <c r="AD24" s="58" t="n"/>
      <c r="AE24" s="58" t="n"/>
      <c r="AF24" s="59" t="n"/>
      <c r="AG24" s="69">
        <f>IF(AB24="","",AB24*0.1)</f>
        <v/>
      </c>
      <c r="AH24" s="58" t="n"/>
      <c r="AI24" s="58" t="n"/>
      <c r="AJ24" s="59" t="n"/>
      <c r="AK24" s="60" t="n"/>
      <c r="AL24" s="58" t="n"/>
      <c r="AM24" s="58" t="n"/>
      <c r="AN24" s="59" t="n"/>
    </row>
    <row r="25" ht="19.5" customHeight="1" s="54">
      <c r="A25" s="60" t="n">
        <v>11</v>
      </c>
      <c r="B25" s="59" t="n"/>
      <c r="C25" s="71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9" t="n"/>
      <c r="N25" s="28" t="n"/>
      <c r="O25" s="40" t="n"/>
      <c r="P25" s="40" t="n"/>
      <c r="Q25" s="40" t="n"/>
      <c r="R25" s="40" t="n"/>
      <c r="S25" s="40" t="n"/>
      <c r="T25" s="8" t="n"/>
      <c r="U25" s="68" t="n"/>
      <c r="V25" s="58" t="n"/>
      <c r="W25" s="59" t="n"/>
      <c r="X25" s="69" t="n"/>
      <c r="Y25" s="58" t="n"/>
      <c r="Z25" s="58" t="n"/>
      <c r="AA25" s="59" t="n"/>
      <c r="AB25" s="69">
        <f>IF(U25*X25&lt;=0,"",U25*X25)</f>
        <v/>
      </c>
      <c r="AC25" s="58" t="n"/>
      <c r="AD25" s="58" t="n"/>
      <c r="AE25" s="58" t="n"/>
      <c r="AF25" s="59" t="n"/>
      <c r="AG25" s="69">
        <f>IF(AB25="","",AB25*0.1)</f>
        <v/>
      </c>
      <c r="AH25" s="58" t="n"/>
      <c r="AI25" s="58" t="n"/>
      <c r="AJ25" s="59" t="n"/>
      <c r="AK25" s="60" t="n"/>
      <c r="AL25" s="58" t="n"/>
      <c r="AM25" s="58" t="n"/>
      <c r="AN25" s="59" t="n"/>
    </row>
    <row r="26" ht="19.5" customHeight="1" s="54">
      <c r="A26" s="60" t="n">
        <v>12</v>
      </c>
      <c r="B26" s="59" t="n"/>
      <c r="C26" s="71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9" t="n"/>
      <c r="N26" s="19" t="n"/>
      <c r="O26" s="58" t="n"/>
      <c r="P26" s="8" t="n"/>
      <c r="Q26" s="58" t="n"/>
      <c r="R26" s="58" t="n"/>
      <c r="S26" s="58" t="n"/>
      <c r="T26" s="59" t="n"/>
      <c r="U26" s="68" t="n"/>
      <c r="V26" s="58" t="n"/>
      <c r="W26" s="59" t="n"/>
      <c r="X26" s="69" t="n"/>
      <c r="Y26" s="58" t="n"/>
      <c r="Z26" s="58" t="n"/>
      <c r="AA26" s="59" t="n"/>
      <c r="AB26" s="69">
        <f>IF(U26*X26&lt;=0,"",U26*X26)</f>
        <v/>
      </c>
      <c r="AC26" s="58" t="n"/>
      <c r="AD26" s="58" t="n"/>
      <c r="AE26" s="58" t="n"/>
      <c r="AF26" s="59" t="n"/>
      <c r="AG26" s="69">
        <f>IF(AB26="","",AB26*0.1)</f>
        <v/>
      </c>
      <c r="AH26" s="58" t="n"/>
      <c r="AI26" s="58" t="n"/>
      <c r="AJ26" s="59" t="n"/>
      <c r="AK26" s="60" t="n"/>
      <c r="AL26" s="58" t="n"/>
      <c r="AM26" s="58" t="n"/>
      <c r="AN26" s="59" t="n"/>
    </row>
    <row r="27" ht="19.5" customHeight="1" s="54">
      <c r="A27" s="60" t="n">
        <v>13</v>
      </c>
      <c r="B27" s="59" t="n"/>
      <c r="C27" s="71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9" t="n"/>
      <c r="N27" s="28" t="n"/>
      <c r="O27" s="40" t="n"/>
      <c r="P27" s="40" t="n"/>
      <c r="Q27" s="40" t="n"/>
      <c r="R27" s="40" t="n"/>
      <c r="S27" s="40" t="n"/>
      <c r="T27" s="8" t="n"/>
      <c r="U27" s="68" t="n"/>
      <c r="V27" s="58" t="n"/>
      <c r="W27" s="59" t="n"/>
      <c r="X27" s="69" t="n"/>
      <c r="Y27" s="58" t="n"/>
      <c r="Z27" s="58" t="n"/>
      <c r="AA27" s="59" t="n"/>
      <c r="AB27" s="69">
        <f>IF(U27*X27&lt;=0,"",U27*X27)</f>
        <v/>
      </c>
      <c r="AC27" s="58" t="n"/>
      <c r="AD27" s="58" t="n"/>
      <c r="AE27" s="58" t="n"/>
      <c r="AF27" s="59" t="n"/>
      <c r="AG27" s="69">
        <f>IF(AB27="","",AB27*0.1)</f>
        <v/>
      </c>
      <c r="AH27" s="58" t="n"/>
      <c r="AI27" s="58" t="n"/>
      <c r="AJ27" s="59" t="n"/>
      <c r="AK27" s="60" t="n"/>
      <c r="AL27" s="58" t="n"/>
      <c r="AM27" s="58" t="n"/>
      <c r="AN27" s="59" t="n"/>
    </row>
    <row r="28" ht="19.5" customHeight="1" s="54">
      <c r="A28" s="60" t="n">
        <v>14</v>
      </c>
      <c r="B28" s="59" t="n"/>
      <c r="C28" s="71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9" t="n"/>
      <c r="N28" s="28" t="n"/>
      <c r="O28" s="40" t="n"/>
      <c r="P28" s="40" t="n"/>
      <c r="Q28" s="40" t="n"/>
      <c r="R28" s="40" t="n"/>
      <c r="S28" s="40" t="n"/>
      <c r="T28" s="8" t="n"/>
      <c r="U28" s="68" t="n"/>
      <c r="V28" s="58" t="n"/>
      <c r="W28" s="59" t="n"/>
      <c r="X28" s="69" t="n"/>
      <c r="Y28" s="58" t="n"/>
      <c r="Z28" s="58" t="n"/>
      <c r="AA28" s="59" t="n"/>
      <c r="AB28" s="69">
        <f>IF(U28*X28&lt;=0,"",U28*X28)</f>
        <v/>
      </c>
      <c r="AC28" s="58" t="n"/>
      <c r="AD28" s="58" t="n"/>
      <c r="AE28" s="58" t="n"/>
      <c r="AF28" s="59" t="n"/>
      <c r="AG28" s="69">
        <f>IF(AB28="","",AB28*0.1)</f>
        <v/>
      </c>
      <c r="AH28" s="58" t="n"/>
      <c r="AI28" s="58" t="n"/>
      <c r="AJ28" s="59" t="n"/>
      <c r="AK28" s="60" t="n"/>
      <c r="AL28" s="58" t="n"/>
      <c r="AM28" s="58" t="n"/>
      <c r="AN28" s="59" t="n"/>
    </row>
    <row r="29" ht="19.5" customHeight="1" s="54">
      <c r="A29" s="60" t="n">
        <v>15</v>
      </c>
      <c r="B29" s="59" t="n"/>
      <c r="C29" s="71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9" t="n"/>
      <c r="N29" s="28" t="n"/>
      <c r="O29" s="40" t="n"/>
      <c r="P29" s="40" t="n"/>
      <c r="Q29" s="40" t="n"/>
      <c r="R29" s="40" t="n"/>
      <c r="S29" s="40" t="n"/>
      <c r="T29" s="8" t="n"/>
      <c r="U29" s="68" t="n"/>
      <c r="V29" s="58" t="n"/>
      <c r="W29" s="59" t="n"/>
      <c r="X29" s="69" t="n"/>
      <c r="Y29" s="58" t="n"/>
      <c r="Z29" s="58" t="n"/>
      <c r="AA29" s="59" t="n"/>
      <c r="AB29" s="69">
        <f>IF(U29*X29&lt;=0,"",U29*X29)</f>
        <v/>
      </c>
      <c r="AC29" s="58" t="n"/>
      <c r="AD29" s="58" t="n"/>
      <c r="AE29" s="58" t="n"/>
      <c r="AF29" s="59" t="n"/>
      <c r="AG29" s="69">
        <f>IF(AB29="","",AB29*0.1)</f>
        <v/>
      </c>
      <c r="AH29" s="58" t="n"/>
      <c r="AI29" s="58" t="n"/>
      <c r="AJ29" s="59" t="n"/>
      <c r="AK29" s="60" t="n"/>
      <c r="AL29" s="58" t="n"/>
      <c r="AM29" s="58" t="n"/>
      <c r="AN29" s="59" t="n"/>
    </row>
    <row r="30" ht="19.5" customHeight="1" s="54">
      <c r="A30" s="60" t="n">
        <v>16</v>
      </c>
      <c r="B30" s="59" t="n"/>
      <c r="C30" s="71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9" t="n"/>
      <c r="N30" s="28" t="n"/>
      <c r="O30" s="40" t="n"/>
      <c r="P30" s="40" t="n"/>
      <c r="Q30" s="40" t="n"/>
      <c r="R30" s="40" t="n"/>
      <c r="S30" s="40" t="n"/>
      <c r="T30" s="8" t="n"/>
      <c r="U30" s="68" t="n"/>
      <c r="V30" s="58" t="n"/>
      <c r="W30" s="59" t="n"/>
      <c r="X30" s="69" t="n"/>
      <c r="Y30" s="58" t="n"/>
      <c r="Z30" s="58" t="n"/>
      <c r="AA30" s="59" t="n"/>
      <c r="AB30" s="69">
        <f>IF(U30*X30&lt;=0,"",U30*X30)</f>
        <v/>
      </c>
      <c r="AC30" s="58" t="n"/>
      <c r="AD30" s="58" t="n"/>
      <c r="AE30" s="58" t="n"/>
      <c r="AF30" s="59" t="n"/>
      <c r="AG30" s="69">
        <f>IF(AB30="","",AB30*0.1)</f>
        <v/>
      </c>
      <c r="AH30" s="58" t="n"/>
      <c r="AI30" s="58" t="n"/>
      <c r="AJ30" s="59" t="n"/>
      <c r="AK30" s="60" t="n"/>
      <c r="AL30" s="58" t="n"/>
      <c r="AM30" s="58" t="n"/>
      <c r="AN30" s="59" t="n"/>
    </row>
    <row r="31" ht="19.5" customHeight="1" s="54">
      <c r="A31" s="60" t="n">
        <v>17</v>
      </c>
      <c r="B31" s="59" t="n"/>
      <c r="C31" s="71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9" t="n"/>
      <c r="N31" s="28" t="n"/>
      <c r="O31" s="40" t="n"/>
      <c r="P31" s="40" t="n"/>
      <c r="Q31" s="40" t="n"/>
      <c r="R31" s="40" t="n"/>
      <c r="S31" s="40" t="n"/>
      <c r="T31" s="8" t="n"/>
      <c r="U31" s="68" t="n"/>
      <c r="V31" s="58" t="n"/>
      <c r="W31" s="59" t="n"/>
      <c r="X31" s="69" t="n"/>
      <c r="Y31" s="58" t="n"/>
      <c r="Z31" s="58" t="n"/>
      <c r="AA31" s="59" t="n"/>
      <c r="AB31" s="69">
        <f>IF(U31*X31&lt;=0,"",U31*X31)</f>
        <v/>
      </c>
      <c r="AC31" s="58" t="n"/>
      <c r="AD31" s="58" t="n"/>
      <c r="AE31" s="58" t="n"/>
      <c r="AF31" s="59" t="n"/>
      <c r="AG31" s="69">
        <f>IF(AB31="","",AB31*0.1)</f>
        <v/>
      </c>
      <c r="AH31" s="58" t="n"/>
      <c r="AI31" s="58" t="n"/>
      <c r="AJ31" s="59" t="n"/>
      <c r="AK31" s="60" t="n"/>
      <c r="AL31" s="58" t="n"/>
      <c r="AM31" s="58" t="n"/>
      <c r="AN31" s="59" t="n"/>
    </row>
    <row r="32" ht="19.5" customHeight="1" s="54">
      <c r="A32" s="60" t="n">
        <v>18</v>
      </c>
      <c r="B32" s="59" t="n"/>
      <c r="C32" s="71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9" t="n"/>
      <c r="N32" s="28" t="n"/>
      <c r="O32" s="40" t="n"/>
      <c r="P32" s="40" t="n"/>
      <c r="Q32" s="40" t="n"/>
      <c r="R32" s="40" t="n"/>
      <c r="S32" s="40" t="n"/>
      <c r="T32" s="8" t="n"/>
      <c r="U32" s="68" t="n"/>
      <c r="V32" s="58" t="n"/>
      <c r="W32" s="59" t="n"/>
      <c r="X32" s="69" t="n"/>
      <c r="Y32" s="58" t="n"/>
      <c r="Z32" s="58" t="n"/>
      <c r="AA32" s="59" t="n"/>
      <c r="AB32" s="69">
        <f>IF(U32*X32&lt;=0,"",U32*X32)</f>
        <v/>
      </c>
      <c r="AC32" s="58" t="n"/>
      <c r="AD32" s="58" t="n"/>
      <c r="AE32" s="58" t="n"/>
      <c r="AF32" s="59" t="n"/>
      <c r="AG32" s="69">
        <f>IF(AB32="","",AB32*0.1)</f>
        <v/>
      </c>
      <c r="AH32" s="58" t="n"/>
      <c r="AI32" s="58" t="n"/>
      <c r="AJ32" s="59" t="n"/>
      <c r="AK32" s="60" t="n"/>
      <c r="AL32" s="58" t="n"/>
      <c r="AM32" s="58" t="n"/>
      <c r="AN32" s="59" t="n"/>
    </row>
    <row r="33" ht="19.5" customHeight="1" s="54">
      <c r="A33" s="60" t="n">
        <v>19</v>
      </c>
      <c r="B33" s="59" t="n"/>
      <c r="C33" s="71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9" t="n"/>
      <c r="N33" s="28" t="n"/>
      <c r="O33" s="40" t="n"/>
      <c r="P33" s="40" t="n"/>
      <c r="Q33" s="40" t="n"/>
      <c r="R33" s="40" t="n"/>
      <c r="S33" s="40" t="n"/>
      <c r="T33" s="8" t="n"/>
      <c r="U33" s="68" t="n"/>
      <c r="V33" s="58" t="n"/>
      <c r="W33" s="59" t="n"/>
      <c r="X33" s="69" t="n"/>
      <c r="Y33" s="58" t="n"/>
      <c r="Z33" s="58" t="n"/>
      <c r="AA33" s="59" t="n"/>
      <c r="AB33" s="69">
        <f>IF(U33*X33&lt;=0,"",U33*X33)</f>
        <v/>
      </c>
      <c r="AC33" s="58" t="n"/>
      <c r="AD33" s="58" t="n"/>
      <c r="AE33" s="58" t="n"/>
      <c r="AF33" s="59" t="n"/>
      <c r="AG33" s="69">
        <f>IF(AB33="","",AB33*0.1)</f>
        <v/>
      </c>
      <c r="AH33" s="58" t="n"/>
      <c r="AI33" s="58" t="n"/>
      <c r="AJ33" s="59" t="n"/>
      <c r="AK33" s="60" t="n"/>
      <c r="AL33" s="58" t="n"/>
      <c r="AM33" s="58" t="n"/>
      <c r="AN33" s="59" t="n"/>
    </row>
    <row r="34" ht="19.5" customHeight="1" s="54">
      <c r="A34" s="60" t="n">
        <v>20</v>
      </c>
      <c r="B34" s="59" t="n"/>
      <c r="C34" s="71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9" t="n"/>
      <c r="N34" s="28" t="n"/>
      <c r="O34" s="40" t="n"/>
      <c r="P34" s="40" t="n"/>
      <c r="Q34" s="40" t="n"/>
      <c r="R34" s="40" t="n"/>
      <c r="S34" s="40" t="n"/>
      <c r="T34" s="8" t="n"/>
      <c r="U34" s="68" t="n"/>
      <c r="V34" s="58" t="n"/>
      <c r="W34" s="59" t="n"/>
      <c r="X34" s="69" t="n"/>
      <c r="Y34" s="58" t="n"/>
      <c r="Z34" s="58" t="n"/>
      <c r="AA34" s="59" t="n"/>
      <c r="AB34" s="69">
        <f>IF(U34*X34&lt;=0,"",U34*X34)</f>
        <v/>
      </c>
      <c r="AC34" s="58" t="n"/>
      <c r="AD34" s="58" t="n"/>
      <c r="AE34" s="58" t="n"/>
      <c r="AF34" s="59" t="n"/>
      <c r="AG34" s="69">
        <f>IF(AB34="","",AB34*0.1)</f>
        <v/>
      </c>
      <c r="AH34" s="58" t="n"/>
      <c r="AI34" s="58" t="n"/>
      <c r="AJ34" s="59" t="n"/>
      <c r="AK34" s="60" t="n"/>
      <c r="AL34" s="58" t="n"/>
      <c r="AM34" s="58" t="n"/>
      <c r="AN34" s="59" t="n"/>
    </row>
    <row r="35" ht="19.5" customHeight="1" s="54">
      <c r="A35" s="57" t="inlineStr">
        <is>
          <t>합      계</t>
        </is>
      </c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  <c r="AA35" s="59" t="n"/>
      <c r="AB35" s="69">
        <f>IF(SUM(AB15:AF34)&lt;=0,"",SUM(AB15:AF34))</f>
        <v/>
      </c>
      <c r="AC35" s="58" t="n"/>
      <c r="AD35" s="58" t="n"/>
      <c r="AE35" s="58" t="n"/>
      <c r="AF35" s="59" t="n"/>
      <c r="AG35" s="69">
        <f>IF(AB35="","",AB35*0.1)</f>
        <v/>
      </c>
      <c r="AH35" s="58" t="n"/>
      <c r="AI35" s="58" t="n"/>
      <c r="AJ35" s="59" t="n"/>
      <c r="AK35" s="60" t="n"/>
      <c r="AL35" s="58" t="n"/>
      <c r="AM35" s="58" t="n"/>
      <c r="AN35" s="59" t="n"/>
    </row>
    <row r="36" ht="19.5" customHeight="1" s="54">
      <c r="A36" s="38" t="inlineStr">
        <is>
          <t>1. 납      기 :</t>
        </is>
      </c>
      <c r="B36" s="72" t="n"/>
      <c r="C36" s="72" t="n"/>
      <c r="D36" s="72" t="n"/>
      <c r="E36" s="72" t="n"/>
      <c r="F36" s="73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  <c r="AJ36" s="72" t="n"/>
      <c r="AK36" s="72" t="n"/>
      <c r="AL36" s="72" t="n"/>
      <c r="AM36" s="72" t="n"/>
      <c r="AN36" s="74" t="n"/>
    </row>
    <row r="37" ht="19.5" customHeight="1" s="54">
      <c r="A37" s="39" t="inlineStr">
        <is>
          <t>2. 지불조건 :</t>
        </is>
      </c>
      <c r="F37" s="75" t="n"/>
      <c r="AN37" s="76" t="n"/>
    </row>
    <row r="38" ht="19.5" customHeight="1" s="54">
      <c r="A38" s="39" t="inlineStr">
        <is>
          <t>3. 배 송 지 :</t>
        </is>
      </c>
      <c r="F38" s="75" t="n"/>
      <c r="AN38" s="76" t="n"/>
    </row>
    <row r="39" ht="19.5" customHeight="1" s="54">
      <c r="A39" s="31" t="inlineStr">
        <is>
          <t>4. 담 당 자 :</t>
        </is>
      </c>
      <c r="B39" s="55" t="n"/>
      <c r="C39" s="55" t="n"/>
      <c r="D39" s="55" t="n"/>
      <c r="E39" s="55" t="n"/>
      <c r="F39" s="77" t="inlineStr">
        <is>
          <t>김민수 과장</t>
        </is>
      </c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78" t="n"/>
    </row>
    <row r="40" ht="16.5" customHeight="1" s="5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6.5" customHeight="1" s="5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6.5" customHeight="1" s="5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6.5" customHeight="1" s="5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6.5" customHeight="1" s="5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6.5" customHeight="1" s="5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6.5" customHeight="1" s="5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6.5" customHeight="1" s="5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6.5" customHeight="1" s="5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6.5" customHeight="1" s="5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6.5" customHeight="1" s="5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6.5" customHeight="1" s="5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6.5" customHeight="1" s="5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6.5" customHeight="1" s="5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6.5" customHeight="1" s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6.5" customHeight="1" s="5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6.5" customHeight="1" s="5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6.5" customHeight="1" s="5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6.5" customHeight="1" s="5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6.5" customHeight="1" s="5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6.5" customHeight="1" s="5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6.5" customHeight="1" s="5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6.5" customHeight="1" s="5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6.5" customHeight="1" s="5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6.5" customHeight="1" s="5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6.5" customHeight="1" s="5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6.5" customHeight="1" s="5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6.5" customHeight="1" s="5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6.5" customHeight="1" s="5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6.5" customHeight="1" s="5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6.5" customHeight="1" s="5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6.5" customHeight="1" s="5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6.5" customHeight="1" s="5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6.5" customHeight="1" s="5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6.5" customHeight="1" s="5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6.5" customHeight="1" s="5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6.5" customHeight="1" s="5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6.5" customHeight="1" s="5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6.5" customHeight="1" s="5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6.5" customHeight="1" s="5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6.5" customHeight="1" s="5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6.5" customHeight="1" s="5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6.5" customHeight="1" s="5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6.5" customHeight="1" s="5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6.5" customHeight="1" s="5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6.5" customHeight="1" s="5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.5" customHeight="1" s="5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.5" customHeight="1" s="5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.5" customHeight="1" s="5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.5" customHeight="1" s="5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.5" customHeight="1" s="5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.5" customHeight="1" s="5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.5" customHeight="1" s="5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.5" customHeight="1" s="5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.5" customHeight="1" s="5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.5" customHeight="1" s="5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.5" customHeight="1" s="5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.5" customHeight="1" s="5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.5" customHeight="1" s="5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.5" customHeight="1" s="5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.5" customHeight="1" s="5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6.5" customHeight="1" s="5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6.5" customHeight="1" s="5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6.5" customHeight="1" s="5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6.5" customHeight="1" s="5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6.5" customHeight="1" s="5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6.5" customHeight="1" s="5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6.5" customHeight="1" s="5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6.5" customHeight="1" s="5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6.5" customHeight="1" s="5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6.5" customHeight="1" s="5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6.5" customHeight="1" s="5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6.5" customHeight="1" s="5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6.5" customHeight="1" s="5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6.5" customHeight="1" s="5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6.5" customHeight="1" s="5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6.5" customHeight="1" s="5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6.5" customHeight="1" s="5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6.5" customHeight="1" s="5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6.5" customHeight="1" s="5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6.5" customHeight="1" s="5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6.5" customHeight="1" s="5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6.5" customHeight="1" s="5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6.5" customHeight="1" s="5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6.5" customHeight="1" s="5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6.5" customHeight="1" s="5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6.5" customHeight="1" s="5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6.5" customHeight="1" s="5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6.5" customHeight="1" s="5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6.5" customHeight="1" s="5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6.5" customHeight="1" s="5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6.5" customHeight="1" s="5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6.5" customHeight="1" s="5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6.5" customHeight="1" s="5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6.5" customHeight="1" s="5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6.5" customHeight="1" s="5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6.5" customHeight="1" s="5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6.5" customHeight="1" s="5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6.5" customHeight="1" s="5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6.5" customHeight="1" s="5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6.5" customHeight="1" s="5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6.5" customHeight="1" s="5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6.5" customHeight="1" s="5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6.5" customHeight="1" s="5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6.5" customHeight="1" s="5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6.5" customHeight="1" s="5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6.5" customHeight="1" s="5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6.5" customHeight="1" s="5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6.5" customHeight="1" s="5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6.5" customHeight="1" s="5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6.5" customHeight="1" s="5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6.5" customHeight="1" s="5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6.5" customHeight="1" s="5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6.5" customHeight="1" s="5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6.5" customHeight="1" s="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6.5" customHeight="1" s="5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6.5" customHeight="1" s="5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6.5" customHeight="1" s="5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6.5" customHeight="1" s="5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6.5" customHeight="1" s="5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6.5" customHeight="1" s="5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6.5" customHeight="1" s="5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6.5" customHeight="1" s="5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6.5" customHeight="1" s="5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6.5" customHeight="1" s="5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6.5" customHeight="1" s="5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6.5" customHeight="1" s="5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6.5" customHeight="1" s="5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6.5" customHeight="1" s="5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6.5" customHeight="1" s="5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6.5" customHeight="1" s="5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6.5" customHeight="1" s="5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6.5" customHeight="1" s="5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6.5" customHeight="1" s="5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6.5" customHeight="1" s="5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6.5" customHeight="1" s="5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6.5" customHeight="1" s="5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6.5" customHeight="1" s="5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6.5" customHeight="1" s="5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6.5" customHeight="1" s="5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6.5" customHeight="1" s="5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6.5" customHeight="1" s="5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6.5" customHeight="1" s="5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6.5" customHeight="1" s="5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6.5" customHeight="1" s="5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6.5" customHeight="1" s="5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6.5" customHeight="1" s="5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6.5" customHeight="1" s="5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6.5" customHeight="1" s="5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6.5" customHeight="1" s="5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6.5" customHeight="1" s="5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6.5" customHeight="1" s="5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6.5" customHeight="1" s="5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6.5" customHeight="1" s="5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6.5" customHeight="1" s="5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6.5" customHeight="1" s="5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6.5" customHeight="1" s="5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6.5" customHeight="1" s="5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6.5" customHeight="1" s="5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6.5" customHeight="1" s="5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6.5" customHeight="1" s="5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6.5" customHeight="1" s="5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6.5" customHeight="1" s="5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6.5" customHeight="1" s="5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6.5" customHeight="1" s="5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6.5" customHeight="1" s="5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6.5" customHeight="1" s="5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6.5" customHeight="1" s="5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6.5" customHeight="1" s="5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6.5" customHeight="1" s="5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6.5" customHeight="1" s="5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6.5" customHeight="1" s="5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6.5" customHeight="1" s="5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6.5" customHeight="1" s="5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6.5" customHeight="1" s="5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6.5" customHeight="1" s="5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6.5" customHeight="1" s="5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6.5" customHeight="1" s="5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6.5" customHeight="1" s="5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6.5" customHeight="1" s="5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6.5" customHeight="1" s="5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6.5" customHeight="1" s="5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6.5" customHeight="1" s="5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6.5" customHeight="1" s="5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6.5" customHeight="1" s="5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6.5" customHeight="1" s="5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6.5" customHeight="1" s="5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6.5" customHeight="1" s="5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6.5" customHeight="1" s="5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6.5" customHeight="1" s="5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6.5" customHeight="1" s="5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6.5" customHeight="1" s="5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6.5" customHeight="1" s="5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6.5" customHeight="1" s="5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6.5" customHeight="1" s="5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6.5" customHeight="1" s="5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6.5" customHeight="1" s="5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6.5" customHeight="1" s="5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6.5" customHeight="1" s="5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6.5" customHeight="1" s="5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212">
    <mergeCell ref="A39:E39"/>
    <mergeCell ref="AK22:AN22"/>
    <mergeCell ref="A15:B15"/>
    <mergeCell ref="N20:O20"/>
    <mergeCell ref="AK31:AN31"/>
    <mergeCell ref="P26:T26"/>
    <mergeCell ref="X26:AA26"/>
    <mergeCell ref="A12:E13"/>
    <mergeCell ref="U32:W32"/>
    <mergeCell ref="AB18:AF18"/>
    <mergeCell ref="C15:M15"/>
    <mergeCell ref="C24:M24"/>
    <mergeCell ref="AG30:AJ30"/>
    <mergeCell ref="X25:AA25"/>
    <mergeCell ref="N22:O22"/>
    <mergeCell ref="AG14:AJ14"/>
    <mergeCell ref="AB35:AF35"/>
    <mergeCell ref="AG23:AJ23"/>
    <mergeCell ref="C26:M26"/>
    <mergeCell ref="X27:AA27"/>
    <mergeCell ref="AK32:AN32"/>
    <mergeCell ref="B10:P10"/>
    <mergeCell ref="AK23:AN23"/>
    <mergeCell ref="AB25:AF25"/>
    <mergeCell ref="U18:W18"/>
    <mergeCell ref="C16:M16"/>
    <mergeCell ref="A37:E37"/>
    <mergeCell ref="A27:B27"/>
    <mergeCell ref="AB27:AF27"/>
    <mergeCell ref="A35:AA35"/>
    <mergeCell ref="F36:AN36"/>
    <mergeCell ref="A33:B33"/>
    <mergeCell ref="AK18:AN18"/>
    <mergeCell ref="C27:M27"/>
    <mergeCell ref="S7:V7"/>
    <mergeCell ref="A17:B17"/>
    <mergeCell ref="AK33:AN33"/>
    <mergeCell ref="A22:B22"/>
    <mergeCell ref="U34:W34"/>
    <mergeCell ref="C17:M17"/>
    <mergeCell ref="O8:P8"/>
    <mergeCell ref="AG27:AJ27"/>
    <mergeCell ref="AH10:AN10"/>
    <mergeCell ref="N15:O15"/>
    <mergeCell ref="A19:B19"/>
    <mergeCell ref="N24:O24"/>
    <mergeCell ref="U27:W27"/>
    <mergeCell ref="AG17:AJ17"/>
    <mergeCell ref="A28:B28"/>
    <mergeCell ref="AK35:AN35"/>
    <mergeCell ref="W6:AN6"/>
    <mergeCell ref="W7:AC7"/>
    <mergeCell ref="C19:M19"/>
    <mergeCell ref="U30:W30"/>
    <mergeCell ref="X15:AA15"/>
    <mergeCell ref="C28:M28"/>
    <mergeCell ref="AK20:AN20"/>
    <mergeCell ref="X29:AA29"/>
    <mergeCell ref="B7:N8"/>
    <mergeCell ref="AK34:AN34"/>
    <mergeCell ref="U17:W17"/>
    <mergeCell ref="AK16:AN16"/>
    <mergeCell ref="N26:O26"/>
    <mergeCell ref="AG19:AJ19"/>
    <mergeCell ref="A30:B30"/>
    <mergeCell ref="S9:V9"/>
    <mergeCell ref="U12:V13"/>
    <mergeCell ref="AB15:AF15"/>
    <mergeCell ref="C30:M30"/>
    <mergeCell ref="N16:O16"/>
    <mergeCell ref="AB24:AF24"/>
    <mergeCell ref="AD7:AG7"/>
    <mergeCell ref="A36:E36"/>
    <mergeCell ref="C14:M14"/>
    <mergeCell ref="F6:P6"/>
    <mergeCell ref="AB32:AF32"/>
    <mergeCell ref="U21:W21"/>
    <mergeCell ref="AB26:AF26"/>
    <mergeCell ref="AB16:AF16"/>
    <mergeCell ref="AG29:AJ29"/>
    <mergeCell ref="A26:B26"/>
    <mergeCell ref="W8:AN8"/>
    <mergeCell ref="AG31:AJ31"/>
    <mergeCell ref="P17:T17"/>
    <mergeCell ref="X17:AA17"/>
    <mergeCell ref="AG21:AJ21"/>
    <mergeCell ref="U26:W26"/>
    <mergeCell ref="AK15:AN15"/>
    <mergeCell ref="P19:T19"/>
    <mergeCell ref="X19:AA19"/>
    <mergeCell ref="X34:AA34"/>
    <mergeCell ref="AK24:AN24"/>
    <mergeCell ref="X28:AA28"/>
    <mergeCell ref="F38:AN38"/>
    <mergeCell ref="R6:R10"/>
    <mergeCell ref="A38:E38"/>
    <mergeCell ref="AG32:AJ32"/>
    <mergeCell ref="AK21:AN21"/>
    <mergeCell ref="AB19:AF19"/>
    <mergeCell ref="AB34:AF34"/>
    <mergeCell ref="AK26:AN26"/>
    <mergeCell ref="X30:AA30"/>
    <mergeCell ref="AB28:AF28"/>
    <mergeCell ref="AG16:AJ16"/>
    <mergeCell ref="S10:V10"/>
    <mergeCell ref="C18:M18"/>
    <mergeCell ref="X20:AA20"/>
    <mergeCell ref="A34:B34"/>
    <mergeCell ref="X14:AA14"/>
    <mergeCell ref="U16:W16"/>
    <mergeCell ref="C34:M34"/>
    <mergeCell ref="P20:T20"/>
    <mergeCell ref="AB30:AF30"/>
    <mergeCell ref="U25:W25"/>
    <mergeCell ref="R5:AN5"/>
    <mergeCell ref="AG18:AJ18"/>
    <mergeCell ref="B6:E6"/>
    <mergeCell ref="AB20:AF20"/>
    <mergeCell ref="AB14:AF14"/>
    <mergeCell ref="AB29:AF29"/>
    <mergeCell ref="P22:T22"/>
    <mergeCell ref="X31:AA31"/>
    <mergeCell ref="X12:AL13"/>
    <mergeCell ref="U28:W28"/>
    <mergeCell ref="C20:M20"/>
    <mergeCell ref="C29:M29"/>
    <mergeCell ref="P21:T21"/>
    <mergeCell ref="X21:AA21"/>
    <mergeCell ref="N18:O18"/>
    <mergeCell ref="AG20:AJ20"/>
    <mergeCell ref="AG34:AJ34"/>
    <mergeCell ref="W10:AC10"/>
    <mergeCell ref="C22:M22"/>
    <mergeCell ref="C31:M31"/>
    <mergeCell ref="N17:O17"/>
    <mergeCell ref="U20:W20"/>
    <mergeCell ref="AK28:AN28"/>
    <mergeCell ref="A21:B21"/>
    <mergeCell ref="X32:AA32"/>
    <mergeCell ref="U29:W29"/>
    <mergeCell ref="P23:T23"/>
    <mergeCell ref="X23:AA23"/>
    <mergeCell ref="U23:W23"/>
    <mergeCell ref="AG22:AJ22"/>
    <mergeCell ref="F12:T13"/>
    <mergeCell ref="C21:M21"/>
    <mergeCell ref="U14:W14"/>
    <mergeCell ref="P16:T16"/>
    <mergeCell ref="X16:AA16"/>
    <mergeCell ref="A32:B32"/>
    <mergeCell ref="A14:B14"/>
    <mergeCell ref="N19:O19"/>
    <mergeCell ref="U22:W22"/>
    <mergeCell ref="AK30:AN30"/>
    <mergeCell ref="A23:B23"/>
    <mergeCell ref="AD10:AG10"/>
    <mergeCell ref="U31:W31"/>
    <mergeCell ref="C23:M23"/>
    <mergeCell ref="A1:AN3"/>
    <mergeCell ref="AB17:AF17"/>
    <mergeCell ref="AK14:AN14"/>
    <mergeCell ref="P18:T18"/>
    <mergeCell ref="X18:AA18"/>
    <mergeCell ref="U15:W15"/>
    <mergeCell ref="N14:T14"/>
    <mergeCell ref="AB33:AF33"/>
    <mergeCell ref="S6:V6"/>
    <mergeCell ref="F37:AN37"/>
    <mergeCell ref="A24:B24"/>
    <mergeCell ref="W9:AC9"/>
    <mergeCell ref="C33:M33"/>
    <mergeCell ref="AG15:AJ15"/>
    <mergeCell ref="AH7:AN7"/>
    <mergeCell ref="AG24:AJ24"/>
    <mergeCell ref="AG33:AJ33"/>
    <mergeCell ref="X22:AA22"/>
    <mergeCell ref="AK27:AN27"/>
    <mergeCell ref="A16:B16"/>
    <mergeCell ref="N21:O21"/>
    <mergeCell ref="U24:W24"/>
    <mergeCell ref="A25:B25"/>
    <mergeCell ref="U33:W33"/>
    <mergeCell ref="AD9:AG9"/>
    <mergeCell ref="AG26:AJ26"/>
    <mergeCell ref="AK17:AN17"/>
    <mergeCell ref="C25:M25"/>
    <mergeCell ref="AG35:AJ35"/>
    <mergeCell ref="AB22:AF22"/>
    <mergeCell ref="A18:B18"/>
    <mergeCell ref="N23:O23"/>
    <mergeCell ref="AB31:AF31"/>
    <mergeCell ref="W12:W13"/>
    <mergeCell ref="AG25:AJ25"/>
    <mergeCell ref="AK19:AN19"/>
    <mergeCell ref="AB21:AF21"/>
    <mergeCell ref="U19:W19"/>
    <mergeCell ref="S8:V8"/>
    <mergeCell ref="AK25:AN25"/>
    <mergeCell ref="AM12:AM13"/>
    <mergeCell ref="AB23:AF23"/>
    <mergeCell ref="A20:B20"/>
    <mergeCell ref="A29:B29"/>
    <mergeCell ref="AH9:AN9"/>
    <mergeCell ref="P15:T15"/>
    <mergeCell ref="C32:M32"/>
    <mergeCell ref="P24:T24"/>
    <mergeCell ref="AK29:AN29"/>
    <mergeCell ref="X24:AA24"/>
    <mergeCell ref="X33:AA33"/>
    <mergeCell ref="F39:AN39"/>
    <mergeCell ref="A31:B31"/>
    <mergeCell ref="AG28:AJ28"/>
  </mergeCells>
  <printOptions horizontalCentered="1"/>
  <pageMargins left="0.39" right="0.39" top="0.39" bottom="0.3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WOOSUNG</dc:creator>
  <dcterms:created xmlns:dcterms="http://purl.org/dc/terms/" xmlns:xsi="http://www.w3.org/2001/XMLSchema-instance" xsi:type="dcterms:W3CDTF">2020-12-22T03:08:31Z</dcterms:created>
  <dcterms:modified xmlns:dcterms="http://purl.org/dc/terms/" xmlns:xsi="http://www.w3.org/2001/XMLSchema-instance" xsi:type="dcterms:W3CDTF">2026-05-08T04:07:19Z</dcterms:modified>
  <cp:lastModifiedBy>민수 김</cp:lastModifiedBy>
  <cp:lastPrinted>2026-04-01T08:40:10Z</cp:lastPrinted>
</cp:coreProperties>
</file>