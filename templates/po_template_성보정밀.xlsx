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김민수\Google 드라이브\행정\발주서\2026\"/>
    </mc:Choice>
  </mc:AlternateContent>
  <xr:revisionPtr revIDLastSave="0" documentId="13_ncr:1_{3E33E795-CADE-45C7-B444-CEAADB276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발주서 (성보정밀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rm8StxLK1extlppOAFvC1TDverjDg64adG+4lO5aGM="/>
    </ext>
  </extLst>
</workbook>
</file>

<file path=xl/calcChain.xml><?xml version="1.0" encoding="utf-8"?>
<calcChain xmlns="http://schemas.openxmlformats.org/spreadsheetml/2006/main">
  <c r="AB33" i="1" l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G18" i="1" s="1"/>
  <c r="AB16" i="1"/>
  <c r="AG16" i="1" s="1"/>
  <c r="AB15" i="1"/>
  <c r="AG15" i="1" s="1"/>
  <c r="AB14" i="1"/>
  <c r="AG14" i="1" s="1"/>
  <c r="AB34" i="1" l="1"/>
  <c r="AG34" i="1"/>
  <c r="X11" i="1"/>
  <c r="F11" i="1" s="1"/>
</calcChain>
</file>

<file path=xl/sharedStrings.xml><?xml version="1.0" encoding="utf-8"?>
<sst xmlns="http://schemas.openxmlformats.org/spreadsheetml/2006/main" count="43" uniqueCount="42">
  <si>
    <t>발 주 서</t>
  </si>
  <si>
    <t>NO. 26-0417</t>
  </si>
  <si>
    <t xml:space="preserve">발 주 일 : </t>
  </si>
  <si>
    <t>발
주
자</t>
  </si>
  <si>
    <t>등록번호</t>
  </si>
  <si>
    <t>606-02-14529</t>
  </si>
  <si>
    <t>성보정밀</t>
  </si>
  <si>
    <t>상 호 명</t>
  </si>
  <si>
    <t>우성정밀</t>
  </si>
  <si>
    <t>대 표 자</t>
  </si>
  <si>
    <t>김태식</t>
  </si>
  <si>
    <t>귀하</t>
  </si>
  <si>
    <t>주     소</t>
  </si>
  <si>
    <t>부산시 기장군 산단4로 71</t>
  </si>
  <si>
    <t>업     태</t>
  </si>
  <si>
    <t>제조</t>
  </si>
  <si>
    <t>종     목</t>
  </si>
  <si>
    <t>자동차부품</t>
  </si>
  <si>
    <t>아래와 같이 발주 합니다.</t>
  </si>
  <si>
    <t>연 락 처</t>
  </si>
  <si>
    <t>051-527-9963</t>
  </si>
  <si>
    <t>팩스번호</t>
  </si>
  <si>
    <t>051-526-6024</t>
  </si>
  <si>
    <t>발주금액 :</t>
  </si>
  <si>
    <t>원정</t>
  </si>
  <si>
    <t>(</t>
  </si>
  <si>
    <t>)</t>
  </si>
  <si>
    <t>NO</t>
  </si>
  <si>
    <t>품명</t>
  </si>
  <si>
    <t>수량</t>
  </si>
  <si>
    <t>단가</t>
  </si>
  <si>
    <t>공급가액</t>
  </si>
  <si>
    <t>세액</t>
  </si>
  <si>
    <t>비고</t>
  </si>
  <si>
    <t>4DPVN-02 / BONNET</t>
  </si>
  <si>
    <t>8PDVN-02 / BONNET</t>
  </si>
  <si>
    <t>합      계</t>
  </si>
  <si>
    <t>1. 납      기 :</t>
  </si>
  <si>
    <t>2. 지불조건 :</t>
  </si>
  <si>
    <t>3. 배 송 지 :</t>
  </si>
  <si>
    <t>4. 담 당 자 :</t>
  </si>
  <si>
    <t>김민수 과장 / 010-3881-1165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</si>
</sst>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mm&quot;월&quot;\ dd&quot;일&quot;"/>
  </numFmts>
  <fonts count="7">
    <font>
      <sz val="11"/>
      <color theme="1"/>
      <name val="Calibri"/>
      <scheme val="minor"/>
    </font>
    <font>
      <b/>
      <sz val="24"/>
      <color rgb="FF464646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name val="Calibri"/>
    </font>
    <font>
      <b/>
      <sz val="12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DEDE"/>
        <bgColor rgb="FFDEDEDE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76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77" fontId="2" fillId="0" borderId="9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31" fontId="2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showGridLines="0" tabSelected="1" workbookViewId="0">
      <selection activeCell="X16" sqref="X16:AA16"/>
    </sheetView>
  </sheetViews>
  <sheetFormatPr defaultColWidth="14.44140625" defaultRowHeight="15" customHeight="1"/>
  <cols>
    <col min="1" max="40" width="2.109375" customWidth="1"/>
  </cols>
  <sheetData>
    <row r="1" spans="1:40" ht="16.5" customHeight="1">
      <c r="A1" s="23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ht="16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0" ht="16.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4" t="s">
        <v>1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6" spans="1:40" ht="19.5" customHeight="1">
      <c r="A6" s="2"/>
      <c r="B6" s="9" t="s">
        <v>2</v>
      </c>
      <c r="C6" s="10"/>
      <c r="D6" s="10"/>
      <c r="E6" s="10"/>
      <c r="F6" s="25">
        <v>46129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2"/>
      <c r="R6" s="26" t="s">
        <v>3</v>
      </c>
      <c r="S6" s="5" t="s">
        <v>4</v>
      </c>
      <c r="T6" s="6"/>
      <c r="U6" s="6"/>
      <c r="V6" s="7"/>
      <c r="W6" s="8" t="s">
        <v>5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7"/>
    </row>
    <row r="7" spans="1:40" ht="19.5" customHeight="1">
      <c r="A7" s="2"/>
      <c r="B7" s="22" t="s">
        <v>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"/>
      <c r="P7" s="2"/>
      <c r="Q7" s="2"/>
      <c r="R7" s="27"/>
      <c r="S7" s="5" t="s">
        <v>7</v>
      </c>
      <c r="T7" s="6"/>
      <c r="U7" s="6"/>
      <c r="V7" s="7"/>
      <c r="W7" s="8" t="s">
        <v>8</v>
      </c>
      <c r="X7" s="6"/>
      <c r="Y7" s="6"/>
      <c r="Z7" s="6"/>
      <c r="AA7" s="6"/>
      <c r="AB7" s="6"/>
      <c r="AC7" s="7"/>
      <c r="AD7" s="5" t="s">
        <v>9</v>
      </c>
      <c r="AE7" s="6"/>
      <c r="AF7" s="6"/>
      <c r="AG7" s="7"/>
      <c r="AH7" s="8" t="s">
        <v>10</v>
      </c>
      <c r="AI7" s="6"/>
      <c r="AJ7" s="6"/>
      <c r="AK7" s="6"/>
      <c r="AL7" s="6"/>
      <c r="AM7" s="6"/>
      <c r="AN7" s="7"/>
    </row>
    <row r="8" spans="1:40" ht="19.5" customHeight="1">
      <c r="A8" s="2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29" t="s">
        <v>11</v>
      </c>
      <c r="P8" s="15"/>
      <c r="Q8" s="2"/>
      <c r="R8" s="27"/>
      <c r="S8" s="5" t="s">
        <v>12</v>
      </c>
      <c r="T8" s="6"/>
      <c r="U8" s="6"/>
      <c r="V8" s="7"/>
      <c r="W8" s="8" t="s">
        <v>13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7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7"/>
      <c r="S9" s="5" t="s">
        <v>14</v>
      </c>
      <c r="T9" s="6"/>
      <c r="U9" s="6"/>
      <c r="V9" s="7"/>
      <c r="W9" s="8" t="s">
        <v>15</v>
      </c>
      <c r="X9" s="6"/>
      <c r="Y9" s="6"/>
      <c r="Z9" s="6"/>
      <c r="AA9" s="6"/>
      <c r="AB9" s="6"/>
      <c r="AC9" s="7"/>
      <c r="AD9" s="5" t="s">
        <v>16</v>
      </c>
      <c r="AE9" s="6"/>
      <c r="AF9" s="6"/>
      <c r="AG9" s="7"/>
      <c r="AH9" s="8" t="s">
        <v>17</v>
      </c>
      <c r="AI9" s="6"/>
      <c r="AJ9" s="6"/>
      <c r="AK9" s="6"/>
      <c r="AL9" s="6"/>
      <c r="AM9" s="6"/>
      <c r="AN9" s="7"/>
    </row>
    <row r="10" spans="1:40" ht="19.5" customHeight="1">
      <c r="A10" s="2"/>
      <c r="B10" s="9" t="s">
        <v>18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"/>
      <c r="R10" s="28"/>
      <c r="S10" s="5" t="s">
        <v>19</v>
      </c>
      <c r="T10" s="6"/>
      <c r="U10" s="6"/>
      <c r="V10" s="7"/>
      <c r="W10" s="8" t="s">
        <v>20</v>
      </c>
      <c r="X10" s="6"/>
      <c r="Y10" s="6"/>
      <c r="Z10" s="6"/>
      <c r="AA10" s="6"/>
      <c r="AB10" s="6"/>
      <c r="AC10" s="7"/>
      <c r="AD10" s="5" t="s">
        <v>21</v>
      </c>
      <c r="AE10" s="6"/>
      <c r="AF10" s="6"/>
      <c r="AG10" s="7"/>
      <c r="AH10" s="8" t="s">
        <v>22</v>
      </c>
      <c r="AI10" s="6"/>
      <c r="AJ10" s="6"/>
      <c r="AK10" s="6"/>
      <c r="AL10" s="6"/>
      <c r="AM10" s="6"/>
      <c r="AN10" s="7"/>
    </row>
    <row r="11" spans="1:40" ht="19.5" customHeight="1">
      <c r="A11" s="22" t="s">
        <v>23</v>
      </c>
      <c r="B11" s="10"/>
      <c r="C11" s="10"/>
      <c r="D11" s="10"/>
      <c r="E11" s="10"/>
      <c r="F11" s="30" t="str">
        <f>IF(ISERROR((NUMBERSTRING(X11,1))),"",(NUMBERSTRING(X11,1)))</f>
        <v>이천이백팔십팔만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22" t="s">
        <v>24</v>
      </c>
      <c r="V11" s="10"/>
      <c r="W11" s="22" t="s">
        <v>25</v>
      </c>
      <c r="X11" s="21">
        <f>IF(SUM(AB14:AJ33)=0,"",SUM(AB14:AJ33))</f>
        <v>22880000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22" t="s">
        <v>26</v>
      </c>
      <c r="AN11" s="3"/>
    </row>
    <row r="12" spans="1:40" ht="19.5" customHeight="1">
      <c r="A12" s="10"/>
      <c r="B12" s="10"/>
      <c r="C12" s="10"/>
      <c r="D12" s="10"/>
      <c r="E12" s="10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4"/>
    </row>
    <row r="13" spans="1:40" ht="19.5" customHeight="1">
      <c r="A13" s="5" t="s">
        <v>27</v>
      </c>
      <c r="B13" s="7"/>
      <c r="C13" s="5" t="s">
        <v>28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/>
      <c r="Q13" s="5" t="s">
        <v>29</v>
      </c>
      <c r="R13" s="6"/>
      <c r="S13" s="6"/>
      <c r="T13" s="6"/>
      <c r="U13" s="6"/>
      <c r="V13" s="6"/>
      <c r="W13" s="7"/>
      <c r="X13" s="5" t="s">
        <v>30</v>
      </c>
      <c r="Y13" s="6"/>
      <c r="Z13" s="6"/>
      <c r="AA13" s="7"/>
      <c r="AB13" s="5" t="s">
        <v>31</v>
      </c>
      <c r="AC13" s="6"/>
      <c r="AD13" s="6"/>
      <c r="AE13" s="6"/>
      <c r="AF13" s="7"/>
      <c r="AG13" s="5" t="s">
        <v>32</v>
      </c>
      <c r="AH13" s="6"/>
      <c r="AI13" s="6"/>
      <c r="AJ13" s="7"/>
      <c r="AK13" s="5" t="s">
        <v>33</v>
      </c>
      <c r="AL13" s="6"/>
      <c r="AM13" s="6"/>
      <c r="AN13" s="7"/>
    </row>
    <row r="14" spans="1:40" ht="19.5" customHeight="1">
      <c r="A14" s="8">
        <v>1</v>
      </c>
      <c r="B14" s="7"/>
      <c r="C14" s="8" t="s">
        <v>34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  <c r="Q14" s="11">
        <v>20000</v>
      </c>
      <c r="R14" s="6"/>
      <c r="S14" s="6"/>
      <c r="T14" s="6"/>
      <c r="U14" s="6"/>
      <c r="V14" s="6"/>
      <c r="W14" s="7"/>
      <c r="X14" s="12">
        <v>800</v>
      </c>
      <c r="Y14" s="6"/>
      <c r="Z14" s="6"/>
      <c r="AA14" s="7"/>
      <c r="AB14" s="12">
        <f t="shared" ref="AB14:AB16" si="0">IF(Q14*X14&lt;=0,"",Q14*X14)</f>
        <v>16000000</v>
      </c>
      <c r="AC14" s="6"/>
      <c r="AD14" s="6"/>
      <c r="AE14" s="6"/>
      <c r="AF14" s="7"/>
      <c r="AG14" s="12">
        <f t="shared" ref="AG14:AG16" si="1">IF(AB14="","",AB14*0.1)</f>
        <v>1600000</v>
      </c>
      <c r="AH14" s="6"/>
      <c r="AI14" s="6"/>
      <c r="AJ14" s="7"/>
      <c r="AK14" s="31"/>
      <c r="AL14" s="6"/>
      <c r="AM14" s="6"/>
      <c r="AN14" s="7"/>
    </row>
    <row r="15" spans="1:40" ht="19.5" customHeight="1">
      <c r="A15" s="8">
        <v>2</v>
      </c>
      <c r="B15" s="7"/>
      <c r="C15" s="8" t="s">
        <v>35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7"/>
      <c r="Q15" s="11">
        <v>6000</v>
      </c>
      <c r="R15" s="6"/>
      <c r="S15" s="6"/>
      <c r="T15" s="6"/>
      <c r="U15" s="6"/>
      <c r="V15" s="6"/>
      <c r="W15" s="7"/>
      <c r="X15" s="12">
        <v>800</v>
      </c>
      <c r="Y15" s="6"/>
      <c r="Z15" s="6"/>
      <c r="AA15" s="7"/>
      <c r="AB15" s="12">
        <f t="shared" si="0"/>
        <v>4800000</v>
      </c>
      <c r="AC15" s="6"/>
      <c r="AD15" s="6"/>
      <c r="AE15" s="6"/>
      <c r="AF15" s="7"/>
      <c r="AG15" s="12">
        <f t="shared" si="1"/>
        <v>480000</v>
      </c>
      <c r="AH15" s="6"/>
      <c r="AI15" s="6"/>
      <c r="AJ15" s="7"/>
      <c r="AK15" s="31"/>
      <c r="AL15" s="6"/>
      <c r="AM15" s="6"/>
      <c r="AN15" s="7"/>
    </row>
    <row r="16" spans="1:40" ht="19.5" customHeight="1">
      <c r="A16" s="8">
        <v>3</v>
      </c>
      <c r="B16" s="7"/>
      <c r="C16" s="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  <c r="Q16" s="11"/>
      <c r="R16" s="6"/>
      <c r="S16" s="6"/>
      <c r="T16" s="6"/>
      <c r="U16" s="6"/>
      <c r="V16" s="6"/>
      <c r="W16" s="7"/>
      <c r="X16" s="12"/>
      <c r="Y16" s="6"/>
      <c r="Z16" s="6"/>
      <c r="AA16" s="7"/>
      <c r="AB16" s="12" t="str">
        <f t="shared" si="0"/>
        <v/>
      </c>
      <c r="AC16" s="6"/>
      <c r="AD16" s="6"/>
      <c r="AE16" s="6"/>
      <c r="AF16" s="7"/>
      <c r="AG16" s="12" t="str">
        <f t="shared" si="1"/>
        <v/>
      </c>
      <c r="AH16" s="6"/>
      <c r="AI16" s="6"/>
      <c r="AJ16" s="7"/>
      <c r="AK16" s="31"/>
      <c r="AL16" s="6"/>
      <c r="AM16" s="6"/>
      <c r="AN16" s="7"/>
    </row>
    <row r="17" spans="1:40" ht="19.5" customHeight="1">
      <c r="A17" s="8">
        <v>4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7"/>
      <c r="Q17" s="11"/>
      <c r="R17" s="6"/>
      <c r="S17" s="6"/>
      <c r="T17" s="6"/>
      <c r="U17" s="6"/>
      <c r="V17" s="6"/>
      <c r="W17" s="7"/>
      <c r="X17" s="12"/>
      <c r="Y17" s="6"/>
      <c r="Z17" s="6"/>
      <c r="AA17" s="7"/>
      <c r="AB17" s="12"/>
      <c r="AC17" s="6"/>
      <c r="AD17" s="6"/>
      <c r="AE17" s="6"/>
      <c r="AF17" s="7"/>
      <c r="AG17" s="12"/>
      <c r="AH17" s="6"/>
      <c r="AI17" s="6"/>
      <c r="AJ17" s="7"/>
      <c r="AK17" s="34"/>
      <c r="AL17" s="6"/>
      <c r="AM17" s="6"/>
      <c r="AN17" s="7"/>
    </row>
    <row r="18" spans="1:40" ht="19.5" customHeight="1">
      <c r="A18" s="8">
        <v>5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  <c r="Q18" s="11"/>
      <c r="R18" s="6"/>
      <c r="S18" s="6"/>
      <c r="T18" s="6"/>
      <c r="U18" s="6"/>
      <c r="V18" s="6"/>
      <c r="W18" s="7"/>
      <c r="X18" s="12"/>
      <c r="Y18" s="6"/>
      <c r="Z18" s="6"/>
      <c r="AA18" s="7"/>
      <c r="AB18" s="12" t="str">
        <f>IF(Q18*X18&lt;=0,"",Q18*X18)</f>
        <v/>
      </c>
      <c r="AC18" s="6"/>
      <c r="AD18" s="6"/>
      <c r="AE18" s="6"/>
      <c r="AF18" s="7"/>
      <c r="AG18" s="12" t="str">
        <f>IF(AB18="","",AB18*0.1)</f>
        <v/>
      </c>
      <c r="AH18" s="6"/>
      <c r="AI18" s="6"/>
      <c r="AJ18" s="7"/>
      <c r="AK18" s="8"/>
      <c r="AL18" s="6"/>
      <c r="AM18" s="6"/>
      <c r="AN18" s="7"/>
    </row>
    <row r="19" spans="1:40" ht="19.5" customHeight="1">
      <c r="A19" s="8">
        <v>6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11"/>
      <c r="R19" s="6"/>
      <c r="S19" s="6"/>
      <c r="T19" s="6"/>
      <c r="U19" s="6"/>
      <c r="V19" s="6"/>
      <c r="W19" s="7"/>
      <c r="X19" s="12"/>
      <c r="Y19" s="6"/>
      <c r="Z19" s="6"/>
      <c r="AA19" s="7"/>
      <c r="AB19" s="12" t="str">
        <f t="shared" ref="AB19:AB33" si="2">IF(U19*X19&lt;=0,"",U19*X19)</f>
        <v/>
      </c>
      <c r="AC19" s="6"/>
      <c r="AD19" s="6"/>
      <c r="AE19" s="6"/>
      <c r="AF19" s="7"/>
      <c r="AG19" s="12"/>
      <c r="AH19" s="6"/>
      <c r="AI19" s="6"/>
      <c r="AJ19" s="7"/>
      <c r="AK19" s="8"/>
      <c r="AL19" s="6"/>
      <c r="AM19" s="6"/>
      <c r="AN19" s="7"/>
    </row>
    <row r="20" spans="1:40" ht="19.5" customHeight="1">
      <c r="A20" s="8">
        <v>7</v>
      </c>
      <c r="B20" s="7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11"/>
      <c r="R20" s="6"/>
      <c r="S20" s="6"/>
      <c r="T20" s="6"/>
      <c r="U20" s="6"/>
      <c r="V20" s="6"/>
      <c r="W20" s="7"/>
      <c r="X20" s="12"/>
      <c r="Y20" s="6"/>
      <c r="Z20" s="6"/>
      <c r="AA20" s="7"/>
      <c r="AB20" s="12" t="str">
        <f t="shared" si="2"/>
        <v/>
      </c>
      <c r="AC20" s="6"/>
      <c r="AD20" s="6"/>
      <c r="AE20" s="6"/>
      <c r="AF20" s="7"/>
      <c r="AG20" s="12"/>
      <c r="AH20" s="6"/>
      <c r="AI20" s="6"/>
      <c r="AJ20" s="7"/>
      <c r="AK20" s="8"/>
      <c r="AL20" s="6"/>
      <c r="AM20" s="6"/>
      <c r="AN20" s="7"/>
    </row>
    <row r="21" spans="1:40" ht="19.5" customHeight="1">
      <c r="A21" s="8">
        <v>8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/>
      <c r="Q21" s="11"/>
      <c r="R21" s="6"/>
      <c r="S21" s="6"/>
      <c r="T21" s="6"/>
      <c r="U21" s="6"/>
      <c r="V21" s="6"/>
      <c r="W21" s="7"/>
      <c r="X21" s="12"/>
      <c r="Y21" s="6"/>
      <c r="Z21" s="6"/>
      <c r="AA21" s="7"/>
      <c r="AB21" s="12" t="str">
        <f t="shared" si="2"/>
        <v/>
      </c>
      <c r="AC21" s="6"/>
      <c r="AD21" s="6"/>
      <c r="AE21" s="6"/>
      <c r="AF21" s="7"/>
      <c r="AG21" s="12"/>
      <c r="AH21" s="6"/>
      <c r="AI21" s="6"/>
      <c r="AJ21" s="7"/>
      <c r="AK21" s="8"/>
      <c r="AL21" s="6"/>
      <c r="AM21" s="6"/>
      <c r="AN21" s="7"/>
    </row>
    <row r="22" spans="1:40" ht="19.5" customHeight="1">
      <c r="A22" s="8">
        <v>9</v>
      </c>
      <c r="B22" s="7"/>
      <c r="C22" s="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7"/>
      <c r="Q22" s="11"/>
      <c r="R22" s="6"/>
      <c r="S22" s="6"/>
      <c r="T22" s="6"/>
      <c r="U22" s="6"/>
      <c r="V22" s="6"/>
      <c r="W22" s="7"/>
      <c r="X22" s="12"/>
      <c r="Y22" s="6"/>
      <c r="Z22" s="6"/>
      <c r="AA22" s="7"/>
      <c r="AB22" s="12" t="str">
        <f t="shared" si="2"/>
        <v/>
      </c>
      <c r="AC22" s="6"/>
      <c r="AD22" s="6"/>
      <c r="AE22" s="6"/>
      <c r="AF22" s="7"/>
      <c r="AG22" s="12"/>
      <c r="AH22" s="6"/>
      <c r="AI22" s="6"/>
      <c r="AJ22" s="7"/>
      <c r="AK22" s="8"/>
      <c r="AL22" s="6"/>
      <c r="AM22" s="6"/>
      <c r="AN22" s="7"/>
    </row>
    <row r="23" spans="1:40" ht="19.5" customHeight="1">
      <c r="A23" s="8">
        <v>10</v>
      </c>
      <c r="B23" s="7"/>
      <c r="C23" s="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  <c r="Q23" s="11"/>
      <c r="R23" s="6"/>
      <c r="S23" s="6"/>
      <c r="T23" s="6"/>
      <c r="U23" s="6"/>
      <c r="V23" s="6"/>
      <c r="W23" s="7"/>
      <c r="X23" s="12"/>
      <c r="Y23" s="6"/>
      <c r="Z23" s="6"/>
      <c r="AA23" s="7"/>
      <c r="AB23" s="12" t="str">
        <f t="shared" si="2"/>
        <v/>
      </c>
      <c r="AC23" s="6"/>
      <c r="AD23" s="6"/>
      <c r="AE23" s="6"/>
      <c r="AF23" s="7"/>
      <c r="AG23" s="12"/>
      <c r="AH23" s="6"/>
      <c r="AI23" s="6"/>
      <c r="AJ23" s="7"/>
      <c r="AK23" s="8"/>
      <c r="AL23" s="6"/>
      <c r="AM23" s="6"/>
      <c r="AN23" s="7"/>
    </row>
    <row r="24" spans="1:40" ht="19.5" customHeight="1">
      <c r="A24" s="8">
        <v>11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/>
      <c r="Q24" s="11"/>
      <c r="R24" s="6"/>
      <c r="S24" s="6"/>
      <c r="T24" s="6"/>
      <c r="U24" s="6"/>
      <c r="V24" s="6"/>
      <c r="W24" s="7"/>
      <c r="X24" s="12"/>
      <c r="Y24" s="6"/>
      <c r="Z24" s="6"/>
      <c r="AA24" s="7"/>
      <c r="AB24" s="12" t="str">
        <f t="shared" si="2"/>
        <v/>
      </c>
      <c r="AC24" s="6"/>
      <c r="AD24" s="6"/>
      <c r="AE24" s="6"/>
      <c r="AF24" s="7"/>
      <c r="AG24" s="12"/>
      <c r="AH24" s="6"/>
      <c r="AI24" s="6"/>
      <c r="AJ24" s="7"/>
      <c r="AK24" s="8"/>
      <c r="AL24" s="6"/>
      <c r="AM24" s="6"/>
      <c r="AN24" s="7"/>
    </row>
    <row r="25" spans="1:40" ht="19.5" customHeight="1">
      <c r="A25" s="8">
        <v>12</v>
      </c>
      <c r="B25" s="7"/>
      <c r="C25" s="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  <c r="Q25" s="11"/>
      <c r="R25" s="6"/>
      <c r="S25" s="6"/>
      <c r="T25" s="6"/>
      <c r="U25" s="6"/>
      <c r="V25" s="6"/>
      <c r="W25" s="7"/>
      <c r="X25" s="12"/>
      <c r="Y25" s="6"/>
      <c r="Z25" s="6"/>
      <c r="AA25" s="7"/>
      <c r="AB25" s="12" t="str">
        <f t="shared" si="2"/>
        <v/>
      </c>
      <c r="AC25" s="6"/>
      <c r="AD25" s="6"/>
      <c r="AE25" s="6"/>
      <c r="AF25" s="7"/>
      <c r="AG25" s="12"/>
      <c r="AH25" s="6"/>
      <c r="AI25" s="6"/>
      <c r="AJ25" s="7"/>
      <c r="AK25" s="8"/>
      <c r="AL25" s="6"/>
      <c r="AM25" s="6"/>
      <c r="AN25" s="7"/>
    </row>
    <row r="26" spans="1:40" ht="19.5" customHeight="1">
      <c r="A26" s="8">
        <v>13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/>
      <c r="Q26" s="11"/>
      <c r="R26" s="6"/>
      <c r="S26" s="6"/>
      <c r="T26" s="6"/>
      <c r="U26" s="6"/>
      <c r="V26" s="6"/>
      <c r="W26" s="7"/>
      <c r="X26" s="12"/>
      <c r="Y26" s="6"/>
      <c r="Z26" s="6"/>
      <c r="AA26" s="7"/>
      <c r="AB26" s="12" t="str">
        <f t="shared" si="2"/>
        <v/>
      </c>
      <c r="AC26" s="6"/>
      <c r="AD26" s="6"/>
      <c r="AE26" s="6"/>
      <c r="AF26" s="7"/>
      <c r="AG26" s="12"/>
      <c r="AH26" s="6"/>
      <c r="AI26" s="6"/>
      <c r="AJ26" s="7"/>
      <c r="AK26" s="8"/>
      <c r="AL26" s="6"/>
      <c r="AM26" s="6"/>
      <c r="AN26" s="7"/>
    </row>
    <row r="27" spans="1:40" ht="19.5" customHeight="1">
      <c r="A27" s="8">
        <v>14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  <c r="Q27" s="11"/>
      <c r="R27" s="6"/>
      <c r="S27" s="6"/>
      <c r="T27" s="6"/>
      <c r="U27" s="6"/>
      <c r="V27" s="6"/>
      <c r="W27" s="7"/>
      <c r="X27" s="12"/>
      <c r="Y27" s="6"/>
      <c r="Z27" s="6"/>
      <c r="AA27" s="7"/>
      <c r="AB27" s="12" t="str">
        <f t="shared" si="2"/>
        <v/>
      </c>
      <c r="AC27" s="6"/>
      <c r="AD27" s="6"/>
      <c r="AE27" s="6"/>
      <c r="AF27" s="7"/>
      <c r="AG27" s="12"/>
      <c r="AH27" s="6"/>
      <c r="AI27" s="6"/>
      <c r="AJ27" s="7"/>
      <c r="AK27" s="8"/>
      <c r="AL27" s="6"/>
      <c r="AM27" s="6"/>
      <c r="AN27" s="7"/>
    </row>
    <row r="28" spans="1:40" ht="19.5" customHeight="1">
      <c r="A28" s="8">
        <v>15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7"/>
      <c r="Q28" s="11"/>
      <c r="R28" s="6"/>
      <c r="S28" s="6"/>
      <c r="T28" s="6"/>
      <c r="U28" s="6"/>
      <c r="V28" s="6"/>
      <c r="W28" s="7"/>
      <c r="X28" s="12"/>
      <c r="Y28" s="6"/>
      <c r="Z28" s="6"/>
      <c r="AA28" s="7"/>
      <c r="AB28" s="12" t="str">
        <f t="shared" si="2"/>
        <v/>
      </c>
      <c r="AC28" s="6"/>
      <c r="AD28" s="6"/>
      <c r="AE28" s="6"/>
      <c r="AF28" s="7"/>
      <c r="AG28" s="12"/>
      <c r="AH28" s="6"/>
      <c r="AI28" s="6"/>
      <c r="AJ28" s="7"/>
      <c r="AK28" s="8"/>
      <c r="AL28" s="6"/>
      <c r="AM28" s="6"/>
      <c r="AN28" s="7"/>
    </row>
    <row r="29" spans="1:40" ht="19.5" customHeight="1">
      <c r="A29" s="8">
        <v>16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  <c r="Q29" s="11"/>
      <c r="R29" s="6"/>
      <c r="S29" s="6"/>
      <c r="T29" s="6"/>
      <c r="U29" s="6"/>
      <c r="V29" s="6"/>
      <c r="W29" s="7"/>
      <c r="X29" s="12"/>
      <c r="Y29" s="6"/>
      <c r="Z29" s="6"/>
      <c r="AA29" s="7"/>
      <c r="AB29" s="12" t="str">
        <f t="shared" si="2"/>
        <v/>
      </c>
      <c r="AC29" s="6"/>
      <c r="AD29" s="6"/>
      <c r="AE29" s="6"/>
      <c r="AF29" s="7"/>
      <c r="AG29" s="12"/>
      <c r="AH29" s="6"/>
      <c r="AI29" s="6"/>
      <c r="AJ29" s="7"/>
      <c r="AK29" s="8"/>
      <c r="AL29" s="6"/>
      <c r="AM29" s="6"/>
      <c r="AN29" s="7"/>
    </row>
    <row r="30" spans="1:40" ht="19.5" customHeight="1">
      <c r="A30" s="8">
        <v>17</v>
      </c>
      <c r="B30" s="7"/>
      <c r="C30" s="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/>
      <c r="Q30" s="11"/>
      <c r="R30" s="6"/>
      <c r="S30" s="6"/>
      <c r="T30" s="6"/>
      <c r="U30" s="6"/>
      <c r="V30" s="6"/>
      <c r="W30" s="7"/>
      <c r="X30" s="12"/>
      <c r="Y30" s="6"/>
      <c r="Z30" s="6"/>
      <c r="AA30" s="7"/>
      <c r="AB30" s="12" t="str">
        <f t="shared" si="2"/>
        <v/>
      </c>
      <c r="AC30" s="6"/>
      <c r="AD30" s="6"/>
      <c r="AE30" s="6"/>
      <c r="AF30" s="7"/>
      <c r="AG30" s="12"/>
      <c r="AH30" s="6"/>
      <c r="AI30" s="6"/>
      <c r="AJ30" s="7"/>
      <c r="AK30" s="8"/>
      <c r="AL30" s="6"/>
      <c r="AM30" s="6"/>
      <c r="AN30" s="7"/>
    </row>
    <row r="31" spans="1:40" ht="19.5" customHeight="1">
      <c r="A31" s="8">
        <v>18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/>
      <c r="Q31" s="11"/>
      <c r="R31" s="6"/>
      <c r="S31" s="6"/>
      <c r="T31" s="6"/>
      <c r="U31" s="6"/>
      <c r="V31" s="6"/>
      <c r="W31" s="7"/>
      <c r="X31" s="12"/>
      <c r="Y31" s="6"/>
      <c r="Z31" s="6"/>
      <c r="AA31" s="7"/>
      <c r="AB31" s="12" t="str">
        <f t="shared" si="2"/>
        <v/>
      </c>
      <c r="AC31" s="6"/>
      <c r="AD31" s="6"/>
      <c r="AE31" s="6"/>
      <c r="AF31" s="7"/>
      <c r="AG31" s="12"/>
      <c r="AH31" s="6"/>
      <c r="AI31" s="6"/>
      <c r="AJ31" s="7"/>
      <c r="AK31" s="8"/>
      <c r="AL31" s="6"/>
      <c r="AM31" s="6"/>
      <c r="AN31" s="7"/>
    </row>
    <row r="32" spans="1:40" ht="19.5" customHeight="1">
      <c r="A32" s="8">
        <v>19</v>
      </c>
      <c r="B32" s="7"/>
      <c r="C32" s="8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7"/>
      <c r="Q32" s="11"/>
      <c r="R32" s="6"/>
      <c r="S32" s="6"/>
      <c r="T32" s="6"/>
      <c r="U32" s="6"/>
      <c r="V32" s="6"/>
      <c r="W32" s="7"/>
      <c r="X32" s="12"/>
      <c r="Y32" s="6"/>
      <c r="Z32" s="6"/>
      <c r="AA32" s="7"/>
      <c r="AB32" s="12" t="str">
        <f t="shared" si="2"/>
        <v/>
      </c>
      <c r="AC32" s="6"/>
      <c r="AD32" s="6"/>
      <c r="AE32" s="6"/>
      <c r="AF32" s="7"/>
      <c r="AG32" s="12"/>
      <c r="AH32" s="6"/>
      <c r="AI32" s="6"/>
      <c r="AJ32" s="7"/>
      <c r="AK32" s="8"/>
      <c r="AL32" s="6"/>
      <c r="AM32" s="6"/>
      <c r="AN32" s="7"/>
    </row>
    <row r="33" spans="1:40" ht="19.5" customHeight="1">
      <c r="A33" s="8">
        <v>20</v>
      </c>
      <c r="B33" s="7"/>
      <c r="C33" s="8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/>
      <c r="Q33" s="11"/>
      <c r="R33" s="6"/>
      <c r="S33" s="6"/>
      <c r="T33" s="6"/>
      <c r="U33" s="6"/>
      <c r="V33" s="6"/>
      <c r="W33" s="7"/>
      <c r="X33" s="12"/>
      <c r="Y33" s="6"/>
      <c r="Z33" s="6"/>
      <c r="AA33" s="7"/>
      <c r="AB33" s="12" t="str">
        <f t="shared" si="2"/>
        <v/>
      </c>
      <c r="AC33" s="6"/>
      <c r="AD33" s="6"/>
      <c r="AE33" s="6"/>
      <c r="AF33" s="7"/>
      <c r="AG33" s="12"/>
      <c r="AH33" s="6"/>
      <c r="AI33" s="6"/>
      <c r="AJ33" s="7"/>
      <c r="AK33" s="8"/>
      <c r="AL33" s="6"/>
      <c r="AM33" s="6"/>
      <c r="AN33" s="7"/>
    </row>
    <row r="34" spans="1:40" ht="19.5" customHeight="1">
      <c r="A34" s="5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  <c r="AB34" s="12">
        <f>IF(SUM(AB14:AF33)&lt;=0,"",SUM(AB14:AF33))</f>
        <v>20800000</v>
      </c>
      <c r="AC34" s="6"/>
      <c r="AD34" s="6"/>
      <c r="AE34" s="6"/>
      <c r="AF34" s="7"/>
      <c r="AG34" s="12">
        <f>IF(SUM(AG14:AJ33)&lt;=0,"",SUM(AG14:AJ33))</f>
        <v>2080000</v>
      </c>
      <c r="AH34" s="6"/>
      <c r="AI34" s="6"/>
      <c r="AJ34" s="7"/>
      <c r="AK34" s="8"/>
      <c r="AL34" s="6"/>
      <c r="AM34" s="6"/>
      <c r="AN34" s="7"/>
    </row>
    <row r="35" spans="1:40" ht="19.5" customHeight="1">
      <c r="A35" s="17" t="s">
        <v>37</v>
      </c>
      <c r="B35" s="18"/>
      <c r="C35" s="18"/>
      <c r="D35" s="18"/>
      <c r="E35" s="18"/>
      <c r="F35" s="19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20"/>
    </row>
    <row r="36" spans="1:40" ht="19.5" customHeight="1">
      <c r="A36" s="32" t="s">
        <v>38</v>
      </c>
      <c r="B36" s="10"/>
      <c r="C36" s="10"/>
      <c r="D36" s="10"/>
      <c r="E36" s="10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3"/>
    </row>
    <row r="37" spans="1:40" ht="19.5" customHeight="1">
      <c r="A37" s="32" t="s">
        <v>39</v>
      </c>
      <c r="B37" s="10"/>
      <c r="C37" s="10"/>
      <c r="D37" s="10"/>
      <c r="E37" s="10"/>
      <c r="F37" s="9" t="s">
        <v>8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3"/>
    </row>
    <row r="38" spans="1:40" ht="19.5" customHeight="1">
      <c r="A38" s="33" t="s">
        <v>40</v>
      </c>
      <c r="B38" s="15"/>
      <c r="C38" s="15"/>
      <c r="D38" s="15"/>
      <c r="E38" s="15"/>
      <c r="F38" s="14" t="s">
        <v>41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6"/>
    </row>
    <row r="39" spans="1:40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spans="1:40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spans="1:40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spans="1:40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spans="1:40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spans="1:40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spans="1:40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spans="1:40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spans="1:40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spans="1:40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spans="1:4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spans="1:40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spans="1:40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spans="1:40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spans="1:40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spans="1:40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spans="1:40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spans="1:40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spans="1:40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spans="1:40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spans="1:4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spans="1:40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spans="1:40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spans="1:40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spans="1:40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spans="1:40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spans="1:40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spans="1:40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spans="1:40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spans="1:40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spans="1:4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spans="1:40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spans="1:40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spans="1:40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spans="1:40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spans="1:40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spans="1:40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spans="1:40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spans="1:40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spans="1:40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spans="1:4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spans="1:40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spans="1:40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spans="1:40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spans="1:40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spans="1:40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spans="1:40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spans="1:40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spans="1:40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spans="1:40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spans="1:4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spans="1:40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spans="1:40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spans="1:40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spans="1:40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spans="1:40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spans="1:40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spans="1:40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spans="1:40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spans="1:40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spans="1:4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spans="1:40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spans="1:40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spans="1:40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spans="1:40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spans="1:40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spans="1:40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spans="1:40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spans="1:40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spans="1:40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spans="1: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spans="1:40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spans="1:40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spans="1:40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spans="1:40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spans="1:40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spans="1:40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spans="1:40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spans="1:40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spans="1:40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spans="1:4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spans="1:40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spans="1:40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spans="1:40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spans="1:40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spans="1:40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spans="1:40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spans="1:40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spans="1:40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spans="1:40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spans="1:4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spans="1:40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spans="1:40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spans="1:40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spans="1:40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spans="1:40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spans="1:40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spans="1:40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spans="1:40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spans="1:40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spans="1:4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spans="1:40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spans="1:40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spans="1:40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spans="1:40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spans="1:40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spans="1:40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spans="1:40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spans="1:40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spans="1:40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spans="1:4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spans="1:40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spans="1:40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spans="1:40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spans="1:40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spans="1:40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spans="1:40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spans="1:40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spans="1:40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spans="1:40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spans="1:4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spans="1:40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spans="1:40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spans="1:40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spans="1:40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spans="1:40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spans="1:40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spans="1:40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spans="1:40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spans="1:40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spans="1:4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spans="1:40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spans="1:40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spans="1:40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spans="1:40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spans="1:40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spans="1:40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spans="1:40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spans="1:40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spans="1:40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spans="1:4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spans="1:40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spans="1:40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spans="1:40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spans="1:40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spans="1:40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spans="1:40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spans="1:40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spans="1:40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spans="1:40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spans="1:4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spans="1:40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spans="1:40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spans="1:40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spans="1:40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spans="1:40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spans="1:40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spans="1:40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spans="1:40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spans="1:40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spans="1:4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spans="1:40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spans="1:40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spans="1:40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spans="1:40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spans="1:40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spans="1:40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spans="1:40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spans="1:40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spans="1:40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spans="1: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spans="1:40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spans="1:40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spans="1:40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spans="1:40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spans="1:40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spans="1:40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spans="1:40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spans="1:40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spans="1:40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spans="1:4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spans="1:40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spans="1:40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spans="1:40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spans="1:40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spans="1:40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spans="1:40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spans="1:40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spans="1:40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spans="1:40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spans="1:4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spans="1:40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spans="1:40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spans="1:40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spans="1:40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spans="1:40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spans="1:40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spans="1:40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spans="1:40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spans="1:40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spans="1:4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spans="1:40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spans="1:40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spans="1:40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spans="1:40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spans="1:40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spans="1:40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spans="1:40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spans="1:40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spans="1:40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spans="1:4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spans="1:40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spans="1:40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spans="1:40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spans="1:40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spans="1:40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spans="1:40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spans="1:40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spans="1:40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spans="1:40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spans="1:4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spans="1:40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spans="1:40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spans="1:40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spans="1:40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spans="1:40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spans="1:40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spans="1:40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spans="1:40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spans="1:40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spans="1:4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189">
    <mergeCell ref="A28:B28"/>
    <mergeCell ref="C28:P28"/>
    <mergeCell ref="Q28:W28"/>
    <mergeCell ref="X28:AA28"/>
    <mergeCell ref="AB28:AF28"/>
    <mergeCell ref="AG28:AJ28"/>
    <mergeCell ref="AK28:AN28"/>
    <mergeCell ref="A29:B29"/>
    <mergeCell ref="C29:P29"/>
    <mergeCell ref="Q29:W29"/>
    <mergeCell ref="X29:AA29"/>
    <mergeCell ref="AB29:AF29"/>
    <mergeCell ref="AG29:AJ29"/>
    <mergeCell ref="AK29:AN29"/>
    <mergeCell ref="A26:B26"/>
    <mergeCell ref="C26:P26"/>
    <mergeCell ref="Q26:W26"/>
    <mergeCell ref="X26:AA26"/>
    <mergeCell ref="AB26:AF26"/>
    <mergeCell ref="AG26:AJ26"/>
    <mergeCell ref="AK26:AN26"/>
    <mergeCell ref="A27:B27"/>
    <mergeCell ref="C27:P27"/>
    <mergeCell ref="Q27:W27"/>
    <mergeCell ref="X27:AA27"/>
    <mergeCell ref="AB27:AF27"/>
    <mergeCell ref="AG27:AJ27"/>
    <mergeCell ref="AK27:AN27"/>
    <mergeCell ref="A24:B24"/>
    <mergeCell ref="C24:P24"/>
    <mergeCell ref="Q24:W24"/>
    <mergeCell ref="X24:AA24"/>
    <mergeCell ref="AB24:AF24"/>
    <mergeCell ref="AG24:AJ24"/>
    <mergeCell ref="AK24:AN24"/>
    <mergeCell ref="A25:B25"/>
    <mergeCell ref="C25:P25"/>
    <mergeCell ref="Q25:W25"/>
    <mergeCell ref="X25:AA25"/>
    <mergeCell ref="AB25:AF25"/>
    <mergeCell ref="AG25:AJ25"/>
    <mergeCell ref="AK25:AN25"/>
    <mergeCell ref="A22:B22"/>
    <mergeCell ref="C22:P22"/>
    <mergeCell ref="Q22:W22"/>
    <mergeCell ref="X22:AA22"/>
    <mergeCell ref="AB22:AF22"/>
    <mergeCell ref="AG22:AJ22"/>
    <mergeCell ref="AK22:AN22"/>
    <mergeCell ref="A23:B23"/>
    <mergeCell ref="C23:P23"/>
    <mergeCell ref="Q23:W23"/>
    <mergeCell ref="X23:AA23"/>
    <mergeCell ref="AB23:AF23"/>
    <mergeCell ref="AG23:AJ23"/>
    <mergeCell ref="AK23:AN23"/>
    <mergeCell ref="A20:B20"/>
    <mergeCell ref="C20:P20"/>
    <mergeCell ref="Q20:W20"/>
    <mergeCell ref="X20:AA20"/>
    <mergeCell ref="AB20:AF20"/>
    <mergeCell ref="AG20:AJ20"/>
    <mergeCell ref="AK20:AN20"/>
    <mergeCell ref="A21:B21"/>
    <mergeCell ref="C21:P21"/>
    <mergeCell ref="Q21:W21"/>
    <mergeCell ref="X21:AA21"/>
    <mergeCell ref="AB21:AF21"/>
    <mergeCell ref="AG21:AJ21"/>
    <mergeCell ref="AK21:AN21"/>
    <mergeCell ref="AB18:AF18"/>
    <mergeCell ref="AG18:AJ18"/>
    <mergeCell ref="AK18:AN18"/>
    <mergeCell ref="A19:B19"/>
    <mergeCell ref="C19:P19"/>
    <mergeCell ref="Q19:W19"/>
    <mergeCell ref="X19:AA19"/>
    <mergeCell ref="AB19:AF19"/>
    <mergeCell ref="AG19:AJ19"/>
    <mergeCell ref="AK19:AN19"/>
    <mergeCell ref="AB15:AF15"/>
    <mergeCell ref="AG15:AJ15"/>
    <mergeCell ref="AK15:AN15"/>
    <mergeCell ref="A36:E36"/>
    <mergeCell ref="A37:E37"/>
    <mergeCell ref="A38:E38"/>
    <mergeCell ref="A16:B16"/>
    <mergeCell ref="C16:P16"/>
    <mergeCell ref="Q16:W16"/>
    <mergeCell ref="X16:AA16"/>
    <mergeCell ref="AB16:AF16"/>
    <mergeCell ref="AG16:AJ16"/>
    <mergeCell ref="AK16:AN16"/>
    <mergeCell ref="A17:B17"/>
    <mergeCell ref="C17:P17"/>
    <mergeCell ref="Q17:W17"/>
    <mergeCell ref="X17:AA17"/>
    <mergeCell ref="AB17:AF17"/>
    <mergeCell ref="AG17:AJ17"/>
    <mergeCell ref="AK17:AN17"/>
    <mergeCell ref="A18:B18"/>
    <mergeCell ref="C18:P18"/>
    <mergeCell ref="Q18:W18"/>
    <mergeCell ref="X18:AA18"/>
    <mergeCell ref="A1:AN3"/>
    <mergeCell ref="R5:AN5"/>
    <mergeCell ref="B6:E6"/>
    <mergeCell ref="F6:P6"/>
    <mergeCell ref="R6:R10"/>
    <mergeCell ref="W6:AN6"/>
    <mergeCell ref="AH7:AN7"/>
    <mergeCell ref="C13:P13"/>
    <mergeCell ref="Q13:W13"/>
    <mergeCell ref="X13:AA13"/>
    <mergeCell ref="AB13:AF13"/>
    <mergeCell ref="AG13:AJ13"/>
    <mergeCell ref="AK13:AN13"/>
    <mergeCell ref="B7:N8"/>
    <mergeCell ref="O8:P8"/>
    <mergeCell ref="A11:E12"/>
    <mergeCell ref="F11:T12"/>
    <mergeCell ref="U11:V12"/>
    <mergeCell ref="W11:W12"/>
    <mergeCell ref="A13:B13"/>
    <mergeCell ref="A33:B33"/>
    <mergeCell ref="C33:P33"/>
    <mergeCell ref="Q33:W33"/>
    <mergeCell ref="X33:AA33"/>
    <mergeCell ref="AB33:AF33"/>
    <mergeCell ref="AG33:AJ33"/>
    <mergeCell ref="AK33:AN33"/>
    <mergeCell ref="F37:AN37"/>
    <mergeCell ref="F38:AN38"/>
    <mergeCell ref="A34:AA34"/>
    <mergeCell ref="AB34:AF34"/>
    <mergeCell ref="AG34:AJ34"/>
    <mergeCell ref="AK34:AN34"/>
    <mergeCell ref="A35:E35"/>
    <mergeCell ref="F35:AN35"/>
    <mergeCell ref="F36:AN36"/>
    <mergeCell ref="AK30:AN30"/>
    <mergeCell ref="A31:B31"/>
    <mergeCell ref="C31:P31"/>
    <mergeCell ref="Q31:W31"/>
    <mergeCell ref="X31:AA31"/>
    <mergeCell ref="AB31:AF31"/>
    <mergeCell ref="AG31:AJ31"/>
    <mergeCell ref="AK31:AN31"/>
    <mergeCell ref="A32:B32"/>
    <mergeCell ref="C32:P32"/>
    <mergeCell ref="Q32:W32"/>
    <mergeCell ref="X32:AA32"/>
    <mergeCell ref="AB32:AF32"/>
    <mergeCell ref="AG32:AJ32"/>
    <mergeCell ref="AK32:AN32"/>
    <mergeCell ref="B10:P10"/>
    <mergeCell ref="S10:V10"/>
    <mergeCell ref="W10:AC10"/>
    <mergeCell ref="AD10:AG10"/>
    <mergeCell ref="A30:B30"/>
    <mergeCell ref="C30:P30"/>
    <mergeCell ref="Q30:W30"/>
    <mergeCell ref="X30:AA30"/>
    <mergeCell ref="AB30:AF30"/>
    <mergeCell ref="AG30:AJ30"/>
    <mergeCell ref="AH10:AN10"/>
    <mergeCell ref="X11:AL12"/>
    <mergeCell ref="AM11:AM12"/>
    <mergeCell ref="A14:B14"/>
    <mergeCell ref="C14:P14"/>
    <mergeCell ref="Q14:W14"/>
    <mergeCell ref="X14:AA14"/>
    <mergeCell ref="AB14:AF14"/>
    <mergeCell ref="AG14:AJ14"/>
    <mergeCell ref="AK14:AN14"/>
    <mergeCell ref="A15:B15"/>
    <mergeCell ref="C15:P15"/>
    <mergeCell ref="Q15:W15"/>
    <mergeCell ref="X15:AA15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</mergeCells>
  <phoneticPr fontId="6" type="noConversion"/>
  <printOptions horizontalCentered="1"/>
  <pageMargins left="0.39370078740157483" right="0.39370078740157483" top="0.59055118110236227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 (성보정밀)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WOOSUNG</dc:creator>
  <cp:lastModifiedBy>민수 김</cp:lastModifiedBy>
  <dcterms:created xsi:type="dcterms:W3CDTF">2016-01-13T05:08:25Z</dcterms:created>
  <dcterms:modified xsi:type="dcterms:W3CDTF">2026-04-19T23:42:04Z</dcterms:modified>
</cp:coreProperties>
</file>