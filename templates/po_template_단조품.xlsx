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김민수\Google 드라이브\행정\발주서\2026\"/>
    </mc:Choice>
  </mc:AlternateContent>
  <xr:revisionPtr revIDLastSave="0" documentId="13_ncr:1_{A9404502-EDB9-418C-ABBF-AF63B1B1A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발주서 (대광단조)" sheetId="4" r:id="rId1"/>
    <sheet name="발주서 디와이모터스)" sheetId="6" r:id="rId2"/>
    <sheet name="Sheet1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7" i="6" l="1"/>
  <c r="AG17" i="6" s="1"/>
  <c r="AB15" i="6"/>
  <c r="AG15" i="6" s="1"/>
  <c r="AB16" i="6"/>
  <c r="AG16" i="6" s="1"/>
  <c r="AB14" i="6" l="1"/>
  <c r="J5" i="8"/>
  <c r="J6" i="8" s="1"/>
  <c r="J7" i="8" s="1"/>
  <c r="J8" i="8" s="1"/>
  <c r="AB33" i="6"/>
  <c r="AG33" i="6" s="1"/>
  <c r="AB32" i="6"/>
  <c r="AG32" i="6" s="1"/>
  <c r="AB31" i="6"/>
  <c r="AG31" i="6" s="1"/>
  <c r="AB30" i="6"/>
  <c r="AG30" i="6" s="1"/>
  <c r="AB29" i="6"/>
  <c r="AG29" i="6" s="1"/>
  <c r="AB28" i="6"/>
  <c r="AG28" i="6" s="1"/>
  <c r="AB27" i="6"/>
  <c r="AG27" i="6" s="1"/>
  <c r="AB26" i="6"/>
  <c r="AG26" i="6" s="1"/>
  <c r="AB25" i="6"/>
  <c r="AG25" i="6" s="1"/>
  <c r="AB24" i="6"/>
  <c r="X11" i="6" l="1"/>
  <c r="F11" i="6" s="1"/>
  <c r="AG14" i="6"/>
  <c r="AB34" i="6"/>
  <c r="AG34" i="6" s="1"/>
  <c r="AG24" i="6"/>
  <c r="F6" i="4" l="1"/>
  <c r="F5" i="6" l="1"/>
  <c r="AB34" i="4" l="1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G18" i="4" s="1"/>
  <c r="AB17" i="4"/>
  <c r="AG17" i="4" s="1"/>
  <c r="AB16" i="4"/>
  <c r="AG16" i="4" s="1"/>
  <c r="AB15" i="4"/>
  <c r="AG15" i="4" s="1"/>
  <c r="AG35" i="4" l="1"/>
  <c r="X12" i="4"/>
  <c r="F12" i="4" s="1"/>
  <c r="AB35" i="4"/>
</calcChain>
</file>

<file path=xl/sharedStrings.xml><?xml version="1.0" encoding="utf-8"?>
<sst xmlns="http://schemas.openxmlformats.org/spreadsheetml/2006/main" count="118" uniqueCount="89">
  <si>
    <t>주     소</t>
    <phoneticPr fontId="1" type="noConversion"/>
  </si>
  <si>
    <t>종     목</t>
    <phoneticPr fontId="1" type="noConversion"/>
  </si>
  <si>
    <t>귀하</t>
    <phoneticPr fontId="1" type="noConversion"/>
  </si>
  <si>
    <t>NO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</si>
  <si>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</si>
  <si>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</si>
  <si>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</si>
  <si>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</si>
  <si>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비고</t>
    <phoneticPr fontId="1" type="noConversion"/>
  </si>
  <si>
    <t>세액</t>
    <phoneticPr fontId="1" type="noConversion"/>
  </si>
  <si>
    <t>공급가액</t>
    <phoneticPr fontId="1" type="noConversion"/>
  </si>
  <si>
    <t>(</t>
    <phoneticPr fontId="1" type="noConversion"/>
  </si>
  <si>
    <t>)</t>
    <phoneticPr fontId="1" type="noConversion"/>
  </si>
  <si>
    <t>원정</t>
    <phoneticPr fontId="1" type="noConversion"/>
  </si>
  <si>
    <t>2. 지불조건 :</t>
    <phoneticPr fontId="1" type="noConversion"/>
  </si>
  <si>
    <t>1. 납      기 :</t>
    <phoneticPr fontId="1" type="noConversion"/>
  </si>
  <si>
    <t>4. 담 당 자 :</t>
    <phoneticPr fontId="1" type="noConversion"/>
  </si>
  <si>
    <t>합      계</t>
    <phoneticPr fontId="1" type="noConversion"/>
  </si>
  <si>
    <t>발 주 서</t>
    <phoneticPr fontId="1" type="noConversion"/>
  </si>
  <si>
    <t xml:space="preserve">발 주 일 : </t>
    <phoneticPr fontId="1" type="noConversion"/>
  </si>
  <si>
    <t>발
주
자</t>
    <phoneticPr fontId="1" type="noConversion"/>
  </si>
  <si>
    <t>등록번호</t>
    <phoneticPr fontId="1" type="noConversion"/>
  </si>
  <si>
    <t>상 호 명</t>
    <phoneticPr fontId="1" type="noConversion"/>
  </si>
  <si>
    <t>업     태</t>
    <phoneticPr fontId="1" type="noConversion"/>
  </si>
  <si>
    <t>연 락 처</t>
    <phoneticPr fontId="1" type="noConversion"/>
  </si>
  <si>
    <t>대 표 자</t>
    <phoneticPr fontId="1" type="noConversion"/>
  </si>
  <si>
    <t>팩스번호</t>
    <phoneticPr fontId="1" type="noConversion"/>
  </si>
  <si>
    <t>발주금액 :</t>
    <phoneticPr fontId="1" type="noConversion"/>
  </si>
  <si>
    <t>3. 배 송 지 :</t>
    <phoneticPr fontId="1" type="noConversion"/>
  </si>
  <si>
    <t>아래와 같이 발주 합니다.</t>
    <phoneticPr fontId="1" type="noConversion"/>
  </si>
  <si>
    <t>606-02-14529</t>
    <phoneticPr fontId="1" type="noConversion"/>
  </si>
  <si>
    <t>우성정밀</t>
    <phoneticPr fontId="1" type="noConversion"/>
  </si>
  <si>
    <t>김태식</t>
    <phoneticPr fontId="1" type="noConversion"/>
  </si>
  <si>
    <t>제조</t>
    <phoneticPr fontId="1" type="noConversion"/>
  </si>
  <si>
    <t>자동차부품</t>
    <phoneticPr fontId="1" type="noConversion"/>
  </si>
  <si>
    <t>051-527-9963</t>
    <phoneticPr fontId="1" type="noConversion"/>
  </si>
  <si>
    <t>051-526-6024</t>
    <phoneticPr fontId="1" type="noConversion"/>
  </si>
  <si>
    <t>김민수 과장/010-3881-1165</t>
    <phoneticPr fontId="1" type="noConversion"/>
  </si>
  <si>
    <t>NO</t>
  </si>
  <si>
    <t>품명</t>
  </si>
  <si>
    <t>규격</t>
  </si>
  <si>
    <t>수량</t>
  </si>
  <si>
    <t>단가</t>
  </si>
  <si>
    <t>공급가액</t>
  </si>
  <si>
    <t>세액</t>
  </si>
  <si>
    <t>비고</t>
  </si>
  <si>
    <t>합      계</t>
  </si>
  <si>
    <t>1. 납      기 :</t>
  </si>
  <si>
    <t>2. 지불조건 :</t>
  </si>
  <si>
    <t>3. 배 송 지 :</t>
  </si>
  <si>
    <t>4. 담 당 자 :</t>
  </si>
  <si>
    <t>부산시 기장군 산단4로 71</t>
    <phoneticPr fontId="1" type="noConversion"/>
  </si>
  <si>
    <t>대광단조</t>
    <phoneticPr fontId="1" type="noConversion"/>
  </si>
  <si>
    <t>HA50-80110</t>
    <phoneticPr fontId="1" type="noConversion"/>
  </si>
  <si>
    <t>디와이모터스</t>
    <phoneticPr fontId="1" type="noConversion"/>
  </si>
  <si>
    <t>김민수 팀장</t>
    <phoneticPr fontId="1" type="noConversion"/>
  </si>
  <si>
    <t>20AHYBV</t>
    <phoneticPr fontId="6" type="noConversion"/>
  </si>
  <si>
    <t>재고</t>
    <phoneticPr fontId="1" type="noConversion"/>
  </si>
  <si>
    <t>20AHYBV</t>
    <phoneticPr fontId="1" type="noConversion"/>
  </si>
  <si>
    <t>LOT</t>
    <phoneticPr fontId="1" type="noConversion"/>
  </si>
  <si>
    <t>W0496</t>
  </si>
  <si>
    <t>W0543</t>
  </si>
  <si>
    <t>W0605</t>
  </si>
  <si>
    <t>부적합</t>
    <phoneticPr fontId="1" type="noConversion"/>
  </si>
  <si>
    <t>녹발생</t>
    <phoneticPr fontId="1" type="noConversion"/>
  </si>
  <si>
    <t>표면상태, 녹</t>
    <phoneticPr fontId="1" type="noConversion"/>
  </si>
  <si>
    <t>부적합 내용</t>
    <phoneticPr fontId="1" type="noConversion"/>
  </si>
  <si>
    <t>재고현황</t>
    <phoneticPr fontId="1" type="noConversion"/>
  </si>
  <si>
    <t>출고계획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</si>
  <si>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</si>
  <si>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</si>
  <si>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</si>
  <si>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발주계획</t>
    <phoneticPr fontId="1" type="noConversion"/>
  </si>
  <si>
    <t>월말예상재고</t>
    <phoneticPr fontId="1" type="noConversion"/>
  </si>
  <si>
    <t>입고일</t>
    <phoneticPr fontId="1" type="noConversion"/>
  </si>
  <si>
    <t>25.05.27</t>
    <phoneticPr fontId="1" type="noConversion"/>
  </si>
  <si>
    <t>25.07.14</t>
    <phoneticPr fontId="1" type="noConversion"/>
  </si>
  <si>
    <t>25.09.18</t>
    <phoneticPr fontId="1" type="noConversion"/>
  </si>
  <si>
    <t>나사부 BURR(입고검사 12EA 검사)</t>
    <phoneticPr fontId="1" type="noConversion"/>
  </si>
  <si>
    <t>1월</t>
    <phoneticPr fontId="1" type="noConversion"/>
  </si>
  <si>
    <t>W0638</t>
  </si>
  <si>
    <t>25.10.31</t>
    <phoneticPr fontId="1" type="noConversion"/>
  </si>
  <si>
    <t>NO. 25-1209</t>
    <phoneticPr fontId="1" type="noConversion"/>
  </si>
  <si>
    <t>80AHYBV</t>
    <phoneticPr fontId="1" type="noConversion"/>
  </si>
  <si>
    <t>150AHYBV</t>
    <phoneticPr fontId="1" type="noConversion"/>
  </si>
  <si>
    <t>주물소재</t>
  </si>
  <si>
    <t>4월 13일</t>
    <phoneticPr fontId="1" type="noConversion"/>
  </si>
  <si>
    <t>40AHYBV</t>
    <phoneticPr fontId="6" type="noConversion"/>
  </si>
  <si>
    <t>NO. 26-0410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</si>
</sst>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,##0_ "/>
    <numFmt numFmtId="177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rgb="FF46464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EDEDE"/>
        <bgColor indexed="64"/>
      </patternFill>
    </fill>
    <fill>
      <patternFill patternType="solid">
        <fgColor rgb="FFDEDED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1" fontId="0" fillId="6" borderId="1" xfId="1" applyFont="1" applyFill="1" applyBorder="1">
      <alignment vertical="center"/>
    </xf>
    <xf numFmtId="0" fontId="0" fillId="6" borderId="1" xfId="0" applyFill="1" applyBorder="1">
      <alignment vertical="center"/>
    </xf>
    <xf numFmtId="177" fontId="0" fillId="0" borderId="0" xfId="0" applyNumberFormat="1">
      <alignment vertical="center"/>
    </xf>
    <xf numFmtId="0" fontId="0" fillId="5" borderId="1" xfId="0" applyFill="1" applyBorder="1">
      <alignment vertical="center"/>
    </xf>
    <xf numFmtId="41" fontId="0" fillId="0" borderId="1" xfId="0" applyNumberFormat="1" applyBorder="1">
      <alignment vertical="center"/>
    </xf>
    <xf numFmtId="0" fontId="2" fillId="0" borderId="12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distributed" vertical="center"/>
    </xf>
    <xf numFmtId="0" fontId="2" fillId="0" borderId="2" xfId="0" applyFont="1" applyBorder="1" applyAlignment="1">
      <alignment horizontal="distributed" vertical="center"/>
    </xf>
    <xf numFmtId="0" fontId="2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3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3">
    <dxf>
      <fill>
        <patternFill>
          <bgColor rgb="FFECF1F8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 patternType="none"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TableStyleMedium2" defaultPivotStyle="PivotStyleLight16">
    <tableStyle name="표 스타일 1" pivot="0" count="3" xr9:uid="{00000000-0011-0000-FFFF-FFFF00000000}">
      <tableStyleElement type="wholeTable" dxfId="2"/>
      <tableStyleElement type="headerRow" dxfId="1"/>
      <tableStyleElement type="firstRowStripe" dxfId="0"/>
    </tableStyle>
  </tableStyles>
  <colors>
    <mruColors>
      <color rgb="FF464646"/>
      <color rgb="FFDEDEDE"/>
      <color rgb="FFF1F5F9"/>
      <color rgb="FFECF1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showGridLines="0" tabSelected="1" zoomScaleNormal="100" workbookViewId="0">
      <selection activeCell="X16" sqref="X16:AA16"/>
    </sheetView>
  </sheetViews>
  <sheetFormatPr defaultRowHeight="17.399999999999999" x14ac:dyDescent="0.4"/>
  <cols>
    <col min="1" max="40" width="2.09765625" style="1" customWidth="1"/>
  </cols>
  <sheetData>
    <row r="1" spans="1:40" ht="16.5" customHeight="1" x14ac:dyDescent="0.4">
      <c r="A1" s="56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</row>
    <row r="2" spans="1:40" ht="16.5" customHeight="1" x14ac:dyDescent="0.4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</row>
    <row r="3" spans="1:40" ht="16.5" customHeight="1" x14ac:dyDescent="0.4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</row>
    <row r="4" spans="1:40" ht="16.5" customHeigh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ht="19.5" customHeight="1" x14ac:dyDescent="0.4">
      <c r="R5" s="57" t="s">
        <v>82</v>
      </c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</row>
    <row r="6" spans="1:40" ht="19.5" customHeight="1" x14ac:dyDescent="0.4">
      <c r="B6" s="18" t="s">
        <v>19</v>
      </c>
      <c r="C6" s="18"/>
      <c r="D6" s="18"/>
      <c r="E6" s="18"/>
      <c r="F6" s="58">
        <f ca="1">TODAY()</f>
        <v>46132</v>
      </c>
      <c r="G6" s="59"/>
      <c r="H6" s="59"/>
      <c r="I6" s="59"/>
      <c r="J6" s="59"/>
      <c r="K6" s="59"/>
      <c r="L6" s="59"/>
      <c r="M6" s="59"/>
      <c r="N6" s="59"/>
      <c r="O6" s="59"/>
      <c r="P6" s="59"/>
      <c r="R6" s="60" t="s">
        <v>20</v>
      </c>
      <c r="S6" s="63" t="s">
        <v>21</v>
      </c>
      <c r="T6" s="63"/>
      <c r="U6" s="63"/>
      <c r="V6" s="63"/>
      <c r="W6" s="37" t="s">
        <v>30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9"/>
    </row>
    <row r="7" spans="1:40" ht="19.5" customHeight="1" x14ac:dyDescent="0.4">
      <c r="B7" s="49" t="s">
        <v>52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R7" s="61"/>
      <c r="S7" s="63" t="s">
        <v>22</v>
      </c>
      <c r="T7" s="63"/>
      <c r="U7" s="63"/>
      <c r="V7" s="63"/>
      <c r="W7" s="28" t="s">
        <v>31</v>
      </c>
      <c r="X7" s="28"/>
      <c r="Y7" s="28"/>
      <c r="Z7" s="28"/>
      <c r="AA7" s="28"/>
      <c r="AB7" s="28"/>
      <c r="AC7" s="28"/>
      <c r="AD7" s="63" t="s">
        <v>25</v>
      </c>
      <c r="AE7" s="63"/>
      <c r="AF7" s="63"/>
      <c r="AG7" s="63"/>
      <c r="AH7" s="28" t="s">
        <v>32</v>
      </c>
      <c r="AI7" s="28"/>
      <c r="AJ7" s="28"/>
      <c r="AK7" s="28"/>
      <c r="AL7" s="28"/>
      <c r="AM7" s="28"/>
      <c r="AN7" s="28"/>
    </row>
    <row r="8" spans="1:40" ht="19.5" customHeight="1" x14ac:dyDescent="0.4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64" t="s">
        <v>2</v>
      </c>
      <c r="P8" s="64"/>
      <c r="R8" s="61"/>
      <c r="S8" s="63" t="s">
        <v>0</v>
      </c>
      <c r="T8" s="63"/>
      <c r="U8" s="63"/>
      <c r="V8" s="63"/>
      <c r="W8" s="37" t="s">
        <v>51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9"/>
    </row>
    <row r="9" spans="1:40" ht="19.5" customHeight="1" x14ac:dyDescent="0.4">
      <c r="R9" s="61"/>
      <c r="S9" s="63" t="s">
        <v>23</v>
      </c>
      <c r="T9" s="63"/>
      <c r="U9" s="63"/>
      <c r="V9" s="63"/>
      <c r="W9" s="28" t="s">
        <v>33</v>
      </c>
      <c r="X9" s="28"/>
      <c r="Y9" s="28"/>
      <c r="Z9" s="28"/>
      <c r="AA9" s="28"/>
      <c r="AB9" s="28"/>
      <c r="AC9" s="28"/>
      <c r="AD9" s="63" t="s">
        <v>1</v>
      </c>
      <c r="AE9" s="63"/>
      <c r="AF9" s="63"/>
      <c r="AG9" s="63"/>
      <c r="AH9" s="28" t="s">
        <v>34</v>
      </c>
      <c r="AI9" s="28"/>
      <c r="AJ9" s="28"/>
      <c r="AK9" s="28"/>
      <c r="AL9" s="28"/>
      <c r="AM9" s="28"/>
      <c r="AN9" s="28"/>
    </row>
    <row r="10" spans="1:40" ht="19.5" customHeight="1" x14ac:dyDescent="0.4">
      <c r="B10" s="18" t="s">
        <v>29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R10" s="62"/>
      <c r="S10" s="63" t="s">
        <v>24</v>
      </c>
      <c r="T10" s="63"/>
      <c r="U10" s="63"/>
      <c r="V10" s="63"/>
      <c r="W10" s="28" t="s">
        <v>35</v>
      </c>
      <c r="X10" s="28"/>
      <c r="Y10" s="28"/>
      <c r="Z10" s="28"/>
      <c r="AA10" s="28"/>
      <c r="AB10" s="28"/>
      <c r="AC10" s="28"/>
      <c r="AD10" s="63" t="s">
        <v>26</v>
      </c>
      <c r="AE10" s="63"/>
      <c r="AF10" s="63"/>
      <c r="AG10" s="63"/>
      <c r="AH10" s="28" t="s">
        <v>36</v>
      </c>
      <c r="AI10" s="28"/>
      <c r="AJ10" s="28"/>
      <c r="AK10" s="28"/>
      <c r="AL10" s="28"/>
      <c r="AM10" s="28"/>
      <c r="AN10" s="28"/>
    </row>
    <row r="11" spans="1:40" ht="19.5" customHeight="1" x14ac:dyDescent="0.4"/>
    <row r="12" spans="1:40" ht="19.5" customHeight="1" x14ac:dyDescent="0.4">
      <c r="A12" s="49" t="s">
        <v>27</v>
      </c>
      <c r="B12" s="49"/>
      <c r="C12" s="49"/>
      <c r="D12" s="49"/>
      <c r="E12" s="49"/>
      <c r="F12" s="50" t="str">
        <f>IF(ISERROR((NUMBERSTRING(X12,1))),"",(NUMBERSTRING(X12,1)))</f>
        <v>팔백삼만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49" t="s">
        <v>13</v>
      </c>
      <c r="V12" s="49"/>
      <c r="W12" s="49" t="s">
        <v>11</v>
      </c>
      <c r="X12" s="53">
        <f>IF(SUM(AB15:AJ34)=0,"",SUM(AB15:AJ34))</f>
        <v>8030000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49" t="s">
        <v>12</v>
      </c>
      <c r="AN12" s="2"/>
    </row>
    <row r="13" spans="1:40" ht="19.5" customHeight="1" x14ac:dyDescent="0.4">
      <c r="A13" s="49"/>
      <c r="B13" s="49"/>
      <c r="C13" s="49"/>
      <c r="D13" s="49"/>
      <c r="E13" s="49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2"/>
      <c r="V13" s="52"/>
      <c r="W13" s="52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2"/>
      <c r="AN13" s="3"/>
    </row>
    <row r="14" spans="1:40" ht="19.5" customHeight="1" x14ac:dyDescent="0.4">
      <c r="A14" s="63" t="s">
        <v>3</v>
      </c>
      <c r="B14" s="63"/>
      <c r="C14" s="63" t="s">
        <v>4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 t="s">
        <v>5</v>
      </c>
      <c r="R14" s="63"/>
      <c r="S14" s="63"/>
      <c r="T14" s="63"/>
      <c r="U14" s="63" t="s">
        <v>6</v>
      </c>
      <c r="V14" s="63"/>
      <c r="W14" s="63"/>
      <c r="X14" s="63" t="s">
        <v>7</v>
      </c>
      <c r="Y14" s="63"/>
      <c r="Z14" s="63"/>
      <c r="AA14" s="63"/>
      <c r="AB14" s="63" t="s">
        <v>10</v>
      </c>
      <c r="AC14" s="63"/>
      <c r="AD14" s="63"/>
      <c r="AE14" s="63"/>
      <c r="AF14" s="63"/>
      <c r="AG14" s="63" t="s">
        <v>9</v>
      </c>
      <c r="AH14" s="63"/>
      <c r="AI14" s="63"/>
      <c r="AJ14" s="63"/>
      <c r="AK14" s="63" t="s">
        <v>8</v>
      </c>
      <c r="AL14" s="63"/>
      <c r="AM14" s="63"/>
      <c r="AN14" s="63"/>
    </row>
    <row r="15" spans="1:40" ht="19.5" customHeight="1" x14ac:dyDescent="0.4">
      <c r="A15" s="28">
        <v>1</v>
      </c>
      <c r="B15" s="28"/>
      <c r="C15" s="28" t="s">
        <v>53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68">
        <v>2000</v>
      </c>
      <c r="V15" s="68"/>
      <c r="W15" s="68"/>
      <c r="X15" s="27">
        <v>3650</v>
      </c>
      <c r="Y15" s="27"/>
      <c r="Z15" s="27"/>
      <c r="AA15" s="27"/>
      <c r="AB15" s="27">
        <f>IF(U15*X15&lt;=0,"",U15*X15)</f>
        <v>7300000</v>
      </c>
      <c r="AC15" s="27"/>
      <c r="AD15" s="27"/>
      <c r="AE15" s="27"/>
      <c r="AF15" s="27"/>
      <c r="AG15" s="27">
        <f>IF(AB15="","",AB15*0.1)</f>
        <v>730000</v>
      </c>
      <c r="AH15" s="27"/>
      <c r="AI15" s="27"/>
      <c r="AJ15" s="27"/>
      <c r="AK15" s="28"/>
      <c r="AL15" s="28"/>
      <c r="AM15" s="28"/>
      <c r="AN15" s="28"/>
    </row>
    <row r="16" spans="1:40" ht="19.5" customHeight="1" x14ac:dyDescent="0.4">
      <c r="A16" s="28">
        <v>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68"/>
      <c r="V16" s="68"/>
      <c r="W16" s="68"/>
      <c r="X16" s="27"/>
      <c r="Y16" s="27"/>
      <c r="Z16" s="27"/>
      <c r="AA16" s="27"/>
      <c r="AB16" s="27" t="str">
        <f t="shared" ref="AB16:AB34" si="0">IF(U16*X16&lt;=0,"",U16*X16)</f>
        <v/>
      </c>
      <c r="AC16" s="27"/>
      <c r="AD16" s="27"/>
      <c r="AE16" s="27"/>
      <c r="AF16" s="27"/>
      <c r="AG16" s="27" t="str">
        <f>IF(AB16="","",AB16*0.1)</f>
        <v/>
      </c>
      <c r="AH16" s="27"/>
      <c r="AI16" s="27"/>
      <c r="AJ16" s="27"/>
      <c r="AK16" s="28"/>
      <c r="AL16" s="28"/>
      <c r="AM16" s="28"/>
      <c r="AN16" s="28"/>
    </row>
    <row r="17" spans="1:40" ht="19.5" customHeight="1" x14ac:dyDescent="0.4">
      <c r="A17" s="28">
        <v>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68"/>
      <c r="V17" s="68"/>
      <c r="W17" s="68"/>
      <c r="X17" s="27"/>
      <c r="Y17" s="27"/>
      <c r="Z17" s="27"/>
      <c r="AA17" s="27"/>
      <c r="AB17" s="27" t="str">
        <f t="shared" si="0"/>
        <v/>
      </c>
      <c r="AC17" s="27"/>
      <c r="AD17" s="27"/>
      <c r="AE17" s="27"/>
      <c r="AF17" s="27"/>
      <c r="AG17" s="27" t="str">
        <f>IF(AB17="","",AB17*0.1)</f>
        <v/>
      </c>
      <c r="AH17" s="27"/>
      <c r="AI17" s="27"/>
      <c r="AJ17" s="27"/>
      <c r="AK17" s="28"/>
      <c r="AL17" s="28"/>
      <c r="AM17" s="28"/>
      <c r="AN17" s="28"/>
    </row>
    <row r="18" spans="1:40" ht="19.5" customHeight="1" x14ac:dyDescent="0.4">
      <c r="A18" s="28">
        <v>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68"/>
      <c r="V18" s="68"/>
      <c r="W18" s="68"/>
      <c r="X18" s="27"/>
      <c r="Y18" s="27"/>
      <c r="Z18" s="27"/>
      <c r="AA18" s="27"/>
      <c r="AB18" s="27" t="str">
        <f t="shared" si="0"/>
        <v/>
      </c>
      <c r="AC18" s="27"/>
      <c r="AD18" s="27"/>
      <c r="AE18" s="27"/>
      <c r="AF18" s="27"/>
      <c r="AG18" s="27" t="str">
        <f>IF(AB18="","",AB18*0.1)</f>
        <v/>
      </c>
      <c r="AH18" s="27"/>
      <c r="AI18" s="27"/>
      <c r="AJ18" s="27"/>
      <c r="AK18" s="28"/>
      <c r="AL18" s="28"/>
      <c r="AM18" s="28"/>
      <c r="AN18" s="28"/>
    </row>
    <row r="19" spans="1:40" ht="19.5" customHeight="1" x14ac:dyDescent="0.4">
      <c r="A19" s="28">
        <v>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68"/>
      <c r="V19" s="68"/>
      <c r="W19" s="68"/>
      <c r="X19" s="27"/>
      <c r="Y19" s="27"/>
      <c r="Z19" s="27"/>
      <c r="AA19" s="27"/>
      <c r="AB19" s="27" t="str">
        <f t="shared" si="0"/>
        <v/>
      </c>
      <c r="AC19" s="27"/>
      <c r="AD19" s="27"/>
      <c r="AE19" s="27"/>
      <c r="AF19" s="27"/>
      <c r="AG19" s="27"/>
      <c r="AH19" s="27"/>
      <c r="AI19" s="27"/>
      <c r="AJ19" s="27"/>
      <c r="AK19" s="28"/>
      <c r="AL19" s="28"/>
      <c r="AM19" s="28"/>
      <c r="AN19" s="28"/>
    </row>
    <row r="20" spans="1:40" ht="19.5" customHeight="1" x14ac:dyDescent="0.4">
      <c r="A20" s="28">
        <v>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68"/>
      <c r="V20" s="68"/>
      <c r="W20" s="68"/>
      <c r="X20" s="27"/>
      <c r="Y20" s="27"/>
      <c r="Z20" s="27"/>
      <c r="AA20" s="27"/>
      <c r="AB20" s="27" t="str">
        <f t="shared" si="0"/>
        <v/>
      </c>
      <c r="AC20" s="27"/>
      <c r="AD20" s="27"/>
      <c r="AE20" s="27"/>
      <c r="AF20" s="27"/>
      <c r="AG20" s="27"/>
      <c r="AH20" s="27"/>
      <c r="AI20" s="27"/>
      <c r="AJ20" s="27"/>
      <c r="AK20" s="28"/>
      <c r="AL20" s="28"/>
      <c r="AM20" s="28"/>
      <c r="AN20" s="28"/>
    </row>
    <row r="21" spans="1:40" ht="19.5" customHeight="1" x14ac:dyDescent="0.4">
      <c r="A21" s="28">
        <v>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68"/>
      <c r="V21" s="68"/>
      <c r="W21" s="68"/>
      <c r="X21" s="27"/>
      <c r="Y21" s="27"/>
      <c r="Z21" s="27"/>
      <c r="AA21" s="27"/>
      <c r="AB21" s="27" t="str">
        <f t="shared" si="0"/>
        <v/>
      </c>
      <c r="AC21" s="27"/>
      <c r="AD21" s="27"/>
      <c r="AE21" s="27"/>
      <c r="AF21" s="27"/>
      <c r="AG21" s="27"/>
      <c r="AH21" s="27"/>
      <c r="AI21" s="27"/>
      <c r="AJ21" s="27"/>
      <c r="AK21" s="28"/>
      <c r="AL21" s="28"/>
      <c r="AM21" s="28"/>
      <c r="AN21" s="28"/>
    </row>
    <row r="22" spans="1:40" ht="19.5" customHeight="1" x14ac:dyDescent="0.4">
      <c r="A22" s="28">
        <v>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68"/>
      <c r="V22" s="68"/>
      <c r="W22" s="68"/>
      <c r="X22" s="27"/>
      <c r="Y22" s="27"/>
      <c r="Z22" s="27"/>
      <c r="AA22" s="27"/>
      <c r="AB22" s="27" t="str">
        <f t="shared" si="0"/>
        <v/>
      </c>
      <c r="AC22" s="27"/>
      <c r="AD22" s="27"/>
      <c r="AE22" s="27"/>
      <c r="AF22" s="27"/>
      <c r="AG22" s="27"/>
      <c r="AH22" s="27"/>
      <c r="AI22" s="27"/>
      <c r="AJ22" s="27"/>
      <c r="AK22" s="28"/>
      <c r="AL22" s="28"/>
      <c r="AM22" s="28"/>
      <c r="AN22" s="28"/>
    </row>
    <row r="23" spans="1:40" ht="19.5" customHeight="1" x14ac:dyDescent="0.4">
      <c r="A23" s="28">
        <v>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68"/>
      <c r="V23" s="68"/>
      <c r="W23" s="68"/>
      <c r="X23" s="27"/>
      <c r="Y23" s="27"/>
      <c r="Z23" s="27"/>
      <c r="AA23" s="27"/>
      <c r="AB23" s="27" t="str">
        <f t="shared" si="0"/>
        <v/>
      </c>
      <c r="AC23" s="27"/>
      <c r="AD23" s="27"/>
      <c r="AE23" s="27"/>
      <c r="AF23" s="27"/>
      <c r="AG23" s="27"/>
      <c r="AH23" s="27"/>
      <c r="AI23" s="27"/>
      <c r="AJ23" s="27"/>
      <c r="AK23" s="28"/>
      <c r="AL23" s="28"/>
      <c r="AM23" s="28"/>
      <c r="AN23" s="28"/>
    </row>
    <row r="24" spans="1:40" ht="19.5" customHeight="1" x14ac:dyDescent="0.4">
      <c r="A24" s="28">
        <v>10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68"/>
      <c r="V24" s="68"/>
      <c r="W24" s="68"/>
      <c r="X24" s="27"/>
      <c r="Y24" s="27"/>
      <c r="Z24" s="27"/>
      <c r="AA24" s="27"/>
      <c r="AB24" s="27" t="str">
        <f t="shared" si="0"/>
        <v/>
      </c>
      <c r="AC24" s="27"/>
      <c r="AD24" s="27"/>
      <c r="AE24" s="27"/>
      <c r="AF24" s="27"/>
      <c r="AG24" s="27"/>
      <c r="AH24" s="27"/>
      <c r="AI24" s="27"/>
      <c r="AJ24" s="27"/>
      <c r="AK24" s="28"/>
      <c r="AL24" s="28"/>
      <c r="AM24" s="28"/>
      <c r="AN24" s="28"/>
    </row>
    <row r="25" spans="1:40" ht="19.5" customHeight="1" x14ac:dyDescent="0.4">
      <c r="A25" s="28">
        <v>11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68"/>
      <c r="V25" s="68"/>
      <c r="W25" s="68"/>
      <c r="X25" s="27"/>
      <c r="Y25" s="27"/>
      <c r="Z25" s="27"/>
      <c r="AA25" s="27"/>
      <c r="AB25" s="27" t="str">
        <f t="shared" si="0"/>
        <v/>
      </c>
      <c r="AC25" s="27"/>
      <c r="AD25" s="27"/>
      <c r="AE25" s="27"/>
      <c r="AF25" s="27"/>
      <c r="AG25" s="27"/>
      <c r="AH25" s="27"/>
      <c r="AI25" s="27"/>
      <c r="AJ25" s="27"/>
      <c r="AK25" s="28"/>
      <c r="AL25" s="28"/>
      <c r="AM25" s="28"/>
      <c r="AN25" s="28"/>
    </row>
    <row r="26" spans="1:40" ht="19.5" customHeight="1" x14ac:dyDescent="0.4">
      <c r="A26" s="28">
        <v>12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68"/>
      <c r="V26" s="68"/>
      <c r="W26" s="68"/>
      <c r="X26" s="27"/>
      <c r="Y26" s="27"/>
      <c r="Z26" s="27"/>
      <c r="AA26" s="27"/>
      <c r="AB26" s="27" t="str">
        <f t="shared" si="0"/>
        <v/>
      </c>
      <c r="AC26" s="27"/>
      <c r="AD26" s="27"/>
      <c r="AE26" s="27"/>
      <c r="AF26" s="27"/>
      <c r="AG26" s="27"/>
      <c r="AH26" s="27"/>
      <c r="AI26" s="27"/>
      <c r="AJ26" s="27"/>
      <c r="AK26" s="28"/>
      <c r="AL26" s="28"/>
      <c r="AM26" s="28"/>
      <c r="AN26" s="28"/>
    </row>
    <row r="27" spans="1:40" ht="19.5" customHeight="1" x14ac:dyDescent="0.4">
      <c r="A27" s="28">
        <v>13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68"/>
      <c r="V27" s="68"/>
      <c r="W27" s="68"/>
      <c r="X27" s="27"/>
      <c r="Y27" s="27"/>
      <c r="Z27" s="27"/>
      <c r="AA27" s="27"/>
      <c r="AB27" s="27" t="str">
        <f t="shared" si="0"/>
        <v/>
      </c>
      <c r="AC27" s="27"/>
      <c r="AD27" s="27"/>
      <c r="AE27" s="27"/>
      <c r="AF27" s="27"/>
      <c r="AG27" s="27"/>
      <c r="AH27" s="27"/>
      <c r="AI27" s="27"/>
      <c r="AJ27" s="27"/>
      <c r="AK27" s="28"/>
      <c r="AL27" s="28"/>
      <c r="AM27" s="28"/>
      <c r="AN27" s="28"/>
    </row>
    <row r="28" spans="1:40" ht="19.5" customHeight="1" x14ac:dyDescent="0.4">
      <c r="A28" s="28">
        <v>14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68"/>
      <c r="V28" s="68"/>
      <c r="W28" s="68"/>
      <c r="X28" s="27"/>
      <c r="Y28" s="27"/>
      <c r="Z28" s="27"/>
      <c r="AA28" s="27"/>
      <c r="AB28" s="27" t="str">
        <f t="shared" si="0"/>
        <v/>
      </c>
      <c r="AC28" s="27"/>
      <c r="AD28" s="27"/>
      <c r="AE28" s="27"/>
      <c r="AF28" s="27"/>
      <c r="AG28" s="27"/>
      <c r="AH28" s="27"/>
      <c r="AI28" s="27"/>
      <c r="AJ28" s="27"/>
      <c r="AK28" s="28"/>
      <c r="AL28" s="28"/>
      <c r="AM28" s="28"/>
      <c r="AN28" s="28"/>
    </row>
    <row r="29" spans="1:40" ht="19.5" customHeight="1" x14ac:dyDescent="0.4">
      <c r="A29" s="28">
        <v>15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8"/>
      <c r="V29" s="68"/>
      <c r="W29" s="68"/>
      <c r="X29" s="27"/>
      <c r="Y29" s="27"/>
      <c r="Z29" s="27"/>
      <c r="AA29" s="27"/>
      <c r="AB29" s="27" t="str">
        <f t="shared" si="0"/>
        <v/>
      </c>
      <c r="AC29" s="27"/>
      <c r="AD29" s="27"/>
      <c r="AE29" s="27"/>
      <c r="AF29" s="27"/>
      <c r="AG29" s="27"/>
      <c r="AH29" s="27"/>
      <c r="AI29" s="27"/>
      <c r="AJ29" s="27"/>
      <c r="AK29" s="28"/>
      <c r="AL29" s="28"/>
      <c r="AM29" s="28"/>
      <c r="AN29" s="28"/>
    </row>
    <row r="30" spans="1:40" ht="19.5" customHeight="1" x14ac:dyDescent="0.4">
      <c r="A30" s="28">
        <v>16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8"/>
      <c r="V30" s="68"/>
      <c r="W30" s="68"/>
      <c r="X30" s="27"/>
      <c r="Y30" s="27"/>
      <c r="Z30" s="27"/>
      <c r="AA30" s="27"/>
      <c r="AB30" s="27" t="str">
        <f t="shared" si="0"/>
        <v/>
      </c>
      <c r="AC30" s="27"/>
      <c r="AD30" s="27"/>
      <c r="AE30" s="27"/>
      <c r="AF30" s="27"/>
      <c r="AG30" s="27"/>
      <c r="AH30" s="27"/>
      <c r="AI30" s="27"/>
      <c r="AJ30" s="27"/>
      <c r="AK30" s="28"/>
      <c r="AL30" s="28"/>
      <c r="AM30" s="28"/>
      <c r="AN30" s="28"/>
    </row>
    <row r="31" spans="1:40" ht="19.5" customHeight="1" x14ac:dyDescent="0.4">
      <c r="A31" s="28">
        <v>17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8"/>
      <c r="V31" s="68"/>
      <c r="W31" s="68"/>
      <c r="X31" s="27"/>
      <c r="Y31" s="27"/>
      <c r="Z31" s="27"/>
      <c r="AA31" s="27"/>
      <c r="AB31" s="27" t="str">
        <f t="shared" si="0"/>
        <v/>
      </c>
      <c r="AC31" s="27"/>
      <c r="AD31" s="27"/>
      <c r="AE31" s="27"/>
      <c r="AF31" s="27"/>
      <c r="AG31" s="27"/>
      <c r="AH31" s="27"/>
      <c r="AI31" s="27"/>
      <c r="AJ31" s="27"/>
      <c r="AK31" s="28"/>
      <c r="AL31" s="28"/>
      <c r="AM31" s="28"/>
      <c r="AN31" s="28"/>
    </row>
    <row r="32" spans="1:40" ht="19.5" customHeight="1" x14ac:dyDescent="0.4">
      <c r="A32" s="28">
        <v>18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8"/>
      <c r="V32" s="68"/>
      <c r="W32" s="68"/>
      <c r="X32" s="27"/>
      <c r="Y32" s="27"/>
      <c r="Z32" s="27"/>
      <c r="AA32" s="27"/>
      <c r="AB32" s="27" t="str">
        <f t="shared" si="0"/>
        <v/>
      </c>
      <c r="AC32" s="27"/>
      <c r="AD32" s="27"/>
      <c r="AE32" s="27"/>
      <c r="AF32" s="27"/>
      <c r="AG32" s="27"/>
      <c r="AH32" s="27"/>
      <c r="AI32" s="27"/>
      <c r="AJ32" s="27"/>
      <c r="AK32" s="28"/>
      <c r="AL32" s="28"/>
      <c r="AM32" s="28"/>
      <c r="AN32" s="28"/>
    </row>
    <row r="33" spans="1:40" ht="19.5" customHeight="1" x14ac:dyDescent="0.4">
      <c r="A33" s="28">
        <v>19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8"/>
      <c r="V33" s="68"/>
      <c r="W33" s="68"/>
      <c r="X33" s="27"/>
      <c r="Y33" s="27"/>
      <c r="Z33" s="27"/>
      <c r="AA33" s="27"/>
      <c r="AB33" s="27" t="str">
        <f t="shared" si="0"/>
        <v/>
      </c>
      <c r="AC33" s="27"/>
      <c r="AD33" s="27"/>
      <c r="AE33" s="27"/>
      <c r="AF33" s="27"/>
      <c r="AG33" s="27"/>
      <c r="AH33" s="27"/>
      <c r="AI33" s="27"/>
      <c r="AJ33" s="27"/>
      <c r="AK33" s="28"/>
      <c r="AL33" s="28"/>
      <c r="AM33" s="28"/>
      <c r="AN33" s="28"/>
    </row>
    <row r="34" spans="1:40" ht="19.5" customHeight="1" x14ac:dyDescent="0.4">
      <c r="A34" s="28">
        <v>20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8"/>
      <c r="V34" s="68"/>
      <c r="W34" s="68"/>
      <c r="X34" s="27"/>
      <c r="Y34" s="27"/>
      <c r="Z34" s="27"/>
      <c r="AA34" s="27"/>
      <c r="AB34" s="27" t="str">
        <f t="shared" si="0"/>
        <v/>
      </c>
      <c r="AC34" s="27"/>
      <c r="AD34" s="27"/>
      <c r="AE34" s="27"/>
      <c r="AF34" s="27"/>
      <c r="AG34" s="27"/>
      <c r="AH34" s="27"/>
      <c r="AI34" s="27"/>
      <c r="AJ34" s="27"/>
      <c r="AK34" s="28"/>
      <c r="AL34" s="28"/>
      <c r="AM34" s="28"/>
      <c r="AN34" s="28"/>
    </row>
    <row r="35" spans="1:40" ht="19.5" customHeight="1" x14ac:dyDescent="0.4">
      <c r="A35" s="65" t="s">
        <v>17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7"/>
      <c r="AB35" s="27">
        <f>IF(SUM(AB15:AF34)&lt;=0,"",SUM(AB15:AF34))</f>
        <v>7300000</v>
      </c>
      <c r="AC35" s="27"/>
      <c r="AD35" s="27"/>
      <c r="AE35" s="27"/>
      <c r="AF35" s="27"/>
      <c r="AG35" s="27">
        <f>IF(SUM(AG15:AJ34)&lt;=0,"",SUM(AG15:AJ34))</f>
        <v>730000</v>
      </c>
      <c r="AH35" s="27"/>
      <c r="AI35" s="27"/>
      <c r="AJ35" s="27"/>
      <c r="AK35" s="28"/>
      <c r="AL35" s="28"/>
      <c r="AM35" s="28"/>
      <c r="AN35" s="28"/>
    </row>
    <row r="36" spans="1:40" ht="19.5" customHeight="1" x14ac:dyDescent="0.4">
      <c r="A36" s="29" t="s">
        <v>15</v>
      </c>
      <c r="B36" s="30"/>
      <c r="C36" s="30"/>
      <c r="D36" s="30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2"/>
    </row>
    <row r="37" spans="1:40" ht="19.5" customHeight="1" x14ac:dyDescent="0.4">
      <c r="A37" s="16" t="s">
        <v>14</v>
      </c>
      <c r="B37" s="17"/>
      <c r="C37" s="17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9"/>
    </row>
    <row r="38" spans="1:40" ht="19.5" customHeight="1" x14ac:dyDescent="0.4">
      <c r="A38" s="16" t="s">
        <v>28</v>
      </c>
      <c r="B38" s="17"/>
      <c r="C38" s="17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9"/>
    </row>
    <row r="39" spans="1:40" ht="19.5" customHeight="1" x14ac:dyDescent="0.4">
      <c r="A39" s="20" t="s">
        <v>16</v>
      </c>
      <c r="B39" s="21"/>
      <c r="C39" s="21"/>
      <c r="D39" s="21"/>
      <c r="E39" s="21"/>
      <c r="F39" s="22" t="s">
        <v>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</row>
  </sheetData>
  <mergeCells count="210">
    <mergeCell ref="A1:AN3"/>
    <mergeCell ref="R5:AN5"/>
    <mergeCell ref="B6:E6"/>
    <mergeCell ref="F6:P6"/>
    <mergeCell ref="R6:R10"/>
    <mergeCell ref="S6:V6"/>
    <mergeCell ref="W6:AN6"/>
    <mergeCell ref="B7:N8"/>
    <mergeCell ref="S7:V7"/>
    <mergeCell ref="W7:AC7"/>
    <mergeCell ref="AD7:AG7"/>
    <mergeCell ref="AH7:AN7"/>
    <mergeCell ref="O8:P8"/>
    <mergeCell ref="S8:V8"/>
    <mergeCell ref="W8:AN8"/>
    <mergeCell ref="S9:V9"/>
    <mergeCell ref="W9:AC9"/>
    <mergeCell ref="AD9:AG9"/>
    <mergeCell ref="AH9:AN9"/>
    <mergeCell ref="B10:P10"/>
    <mergeCell ref="S10:V10"/>
    <mergeCell ref="W10:AC10"/>
    <mergeCell ref="AD10:AG10"/>
    <mergeCell ref="AH10:AN10"/>
    <mergeCell ref="A12:E13"/>
    <mergeCell ref="F12:T13"/>
    <mergeCell ref="U12:V13"/>
    <mergeCell ref="W12:W13"/>
    <mergeCell ref="X12:AL13"/>
    <mergeCell ref="AM12:AM13"/>
    <mergeCell ref="A14:B14"/>
    <mergeCell ref="C14:P14"/>
    <mergeCell ref="Q14:T14"/>
    <mergeCell ref="U14:W14"/>
    <mergeCell ref="X14:AA14"/>
    <mergeCell ref="AB14:AF14"/>
    <mergeCell ref="AG14:AJ14"/>
    <mergeCell ref="AK14:AN14"/>
    <mergeCell ref="AG15:AJ15"/>
    <mergeCell ref="AK15:AN15"/>
    <mergeCell ref="A16:B16"/>
    <mergeCell ref="C16:P16"/>
    <mergeCell ref="Q16:T16"/>
    <mergeCell ref="U16:W16"/>
    <mergeCell ref="X16:AA16"/>
    <mergeCell ref="AB16:AF16"/>
    <mergeCell ref="AG16:AJ16"/>
    <mergeCell ref="AK16:AN16"/>
    <mergeCell ref="A15:B15"/>
    <mergeCell ref="C15:P15"/>
    <mergeCell ref="Q15:T15"/>
    <mergeCell ref="U15:W15"/>
    <mergeCell ref="X15:AA15"/>
    <mergeCell ref="AB15:AF15"/>
    <mergeCell ref="AG17:AJ17"/>
    <mergeCell ref="AK17:AN17"/>
    <mergeCell ref="A18:B18"/>
    <mergeCell ref="C18:P18"/>
    <mergeCell ref="Q18:T18"/>
    <mergeCell ref="U18:W18"/>
    <mergeCell ref="X18:AA18"/>
    <mergeCell ref="AB18:AF18"/>
    <mergeCell ref="AG18:AJ18"/>
    <mergeCell ref="AK18:AN18"/>
    <mergeCell ref="A17:B17"/>
    <mergeCell ref="C17:P17"/>
    <mergeCell ref="Q17:T17"/>
    <mergeCell ref="U17:W17"/>
    <mergeCell ref="X17:AA17"/>
    <mergeCell ref="AB17:AF17"/>
    <mergeCell ref="AG19:AJ19"/>
    <mergeCell ref="AK19:AN19"/>
    <mergeCell ref="A20:B20"/>
    <mergeCell ref="C20:P20"/>
    <mergeCell ref="Q20:T20"/>
    <mergeCell ref="U20:W20"/>
    <mergeCell ref="X20:AA20"/>
    <mergeCell ref="AB20:AF20"/>
    <mergeCell ref="AG20:AJ20"/>
    <mergeCell ref="AK20:AN20"/>
    <mergeCell ref="A19:B19"/>
    <mergeCell ref="C19:P19"/>
    <mergeCell ref="Q19:T19"/>
    <mergeCell ref="U19:W19"/>
    <mergeCell ref="X19:AA19"/>
    <mergeCell ref="AB19:AF19"/>
    <mergeCell ref="AG21:AJ21"/>
    <mergeCell ref="AK21:AN21"/>
    <mergeCell ref="A22:B22"/>
    <mergeCell ref="C22:P22"/>
    <mergeCell ref="Q22:T22"/>
    <mergeCell ref="U22:W22"/>
    <mergeCell ref="X22:AA22"/>
    <mergeCell ref="AB22:AF22"/>
    <mergeCell ref="AG22:AJ22"/>
    <mergeCell ref="AK22:AN22"/>
    <mergeCell ref="A21:B21"/>
    <mergeCell ref="C21:P21"/>
    <mergeCell ref="Q21:T21"/>
    <mergeCell ref="U21:W21"/>
    <mergeCell ref="X21:AA21"/>
    <mergeCell ref="AB21:AF21"/>
    <mergeCell ref="AG23:AJ23"/>
    <mergeCell ref="AK23:AN23"/>
    <mergeCell ref="A24:B24"/>
    <mergeCell ref="C24:P24"/>
    <mergeCell ref="Q24:T24"/>
    <mergeCell ref="U24:W24"/>
    <mergeCell ref="X24:AA24"/>
    <mergeCell ref="AB24:AF24"/>
    <mergeCell ref="AG24:AJ24"/>
    <mergeCell ref="AK24:AN24"/>
    <mergeCell ref="A23:B23"/>
    <mergeCell ref="C23:P23"/>
    <mergeCell ref="Q23:T23"/>
    <mergeCell ref="U23:W23"/>
    <mergeCell ref="X23:AA23"/>
    <mergeCell ref="AB23:AF23"/>
    <mergeCell ref="AG25:AJ25"/>
    <mergeCell ref="AK25:AN25"/>
    <mergeCell ref="A26:B26"/>
    <mergeCell ref="C26:P26"/>
    <mergeCell ref="Q26:T26"/>
    <mergeCell ref="U26:W26"/>
    <mergeCell ref="X26:AA26"/>
    <mergeCell ref="AB26:AF26"/>
    <mergeCell ref="AG26:AJ26"/>
    <mergeCell ref="AK26:AN26"/>
    <mergeCell ref="A25:B25"/>
    <mergeCell ref="C25:P25"/>
    <mergeCell ref="Q25:T25"/>
    <mergeCell ref="U25:W25"/>
    <mergeCell ref="X25:AA25"/>
    <mergeCell ref="AB25:AF25"/>
    <mergeCell ref="AG27:AJ27"/>
    <mergeCell ref="AK27:AN27"/>
    <mergeCell ref="A28:B28"/>
    <mergeCell ref="C28:P28"/>
    <mergeCell ref="Q28:T28"/>
    <mergeCell ref="U28:W28"/>
    <mergeCell ref="X28:AA28"/>
    <mergeCell ref="AB28:AF28"/>
    <mergeCell ref="AG28:AJ28"/>
    <mergeCell ref="AK28:AN28"/>
    <mergeCell ref="A27:B27"/>
    <mergeCell ref="C27:P27"/>
    <mergeCell ref="Q27:T27"/>
    <mergeCell ref="U27:W27"/>
    <mergeCell ref="X27:AA27"/>
    <mergeCell ref="AB27:AF27"/>
    <mergeCell ref="AG29:AJ29"/>
    <mergeCell ref="AK29:AN29"/>
    <mergeCell ref="A30:B30"/>
    <mergeCell ref="C30:P30"/>
    <mergeCell ref="Q30:T30"/>
    <mergeCell ref="U30:W30"/>
    <mergeCell ref="X30:AA30"/>
    <mergeCell ref="AB30:AF30"/>
    <mergeCell ref="AG30:AJ30"/>
    <mergeCell ref="AK30:AN30"/>
    <mergeCell ref="A29:B29"/>
    <mergeCell ref="C29:P29"/>
    <mergeCell ref="Q29:T29"/>
    <mergeCell ref="U29:W29"/>
    <mergeCell ref="X29:AA29"/>
    <mergeCell ref="AB29:AF29"/>
    <mergeCell ref="AG31:AJ31"/>
    <mergeCell ref="AK31:AN31"/>
    <mergeCell ref="A32:B32"/>
    <mergeCell ref="C32:P32"/>
    <mergeCell ref="Q32:T32"/>
    <mergeCell ref="U32:W32"/>
    <mergeCell ref="X32:AA32"/>
    <mergeCell ref="AB32:AF32"/>
    <mergeCell ref="AG32:AJ32"/>
    <mergeCell ref="AK32:AN32"/>
    <mergeCell ref="A31:B31"/>
    <mergeCell ref="C31:P31"/>
    <mergeCell ref="Q31:T31"/>
    <mergeCell ref="U31:W31"/>
    <mergeCell ref="X31:AA31"/>
    <mergeCell ref="AB31:AF31"/>
    <mergeCell ref="AG33:AJ33"/>
    <mergeCell ref="AK33:AN33"/>
    <mergeCell ref="A34:B34"/>
    <mergeCell ref="C34:P34"/>
    <mergeCell ref="Q34:T34"/>
    <mergeCell ref="U34:W34"/>
    <mergeCell ref="X34:AA34"/>
    <mergeCell ref="AB34:AF34"/>
    <mergeCell ref="AG34:AJ34"/>
    <mergeCell ref="AK34:AN34"/>
    <mergeCell ref="A33:B33"/>
    <mergeCell ref="C33:P33"/>
    <mergeCell ref="Q33:T33"/>
    <mergeCell ref="U33:W33"/>
    <mergeCell ref="X33:AA33"/>
    <mergeCell ref="AB33:AF33"/>
    <mergeCell ref="A37:E37"/>
    <mergeCell ref="F37:AN37"/>
    <mergeCell ref="A38:E38"/>
    <mergeCell ref="F38:AN38"/>
    <mergeCell ref="A39:E39"/>
    <mergeCell ref="F39:AN39"/>
    <mergeCell ref="A35:AA35"/>
    <mergeCell ref="AB35:AF35"/>
    <mergeCell ref="AG35:AJ35"/>
    <mergeCell ref="AK35:AN35"/>
    <mergeCell ref="A36:E36"/>
    <mergeCell ref="F36:AN36"/>
  </mergeCells>
  <phoneticPr fontId="1" type="noConversion"/>
  <printOptions horizontalCentered="1"/>
  <pageMargins left="0.39370078740157483" right="0.39370078740157483" top="0.59055118110236227" bottom="0.39370078740157483" header="0" footer="0.19685039370078741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8"/>
  <sheetViews>
    <sheetView showGridLines="0" zoomScaleNormal="100" workbookViewId="0">
      <selection activeCell="U18" sqref="U18:W18"/>
    </sheetView>
  </sheetViews>
  <sheetFormatPr defaultRowHeight="17.399999999999999" x14ac:dyDescent="0.4"/>
  <cols>
    <col min="1" max="40" width="2.09765625" style="1" customWidth="1"/>
  </cols>
  <sheetData>
    <row r="1" spans="1:40" ht="16.5" customHeight="1" x14ac:dyDescent="0.4">
      <c r="A1" s="56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</row>
    <row r="2" spans="1:40" ht="16.5" customHeight="1" x14ac:dyDescent="0.4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</row>
    <row r="3" spans="1:40" ht="16.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ht="19.5" customHeight="1" x14ac:dyDescent="0.4">
      <c r="R4" s="57" t="s">
        <v>88</v>
      </c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</row>
    <row r="5" spans="1:40" ht="19.5" customHeight="1" x14ac:dyDescent="0.4">
      <c r="B5" s="18" t="s">
        <v>19</v>
      </c>
      <c r="C5" s="18"/>
      <c r="D5" s="18"/>
      <c r="E5" s="18"/>
      <c r="F5" s="58">
        <f ca="1">'발주서 (대광단조)'!F6:P6</f>
        <v>46132</v>
      </c>
      <c r="G5" s="59"/>
      <c r="H5" s="59"/>
      <c r="I5" s="59"/>
      <c r="J5" s="59"/>
      <c r="K5" s="59"/>
      <c r="L5" s="59"/>
      <c r="M5" s="59"/>
      <c r="N5" s="59"/>
      <c r="O5" s="59"/>
      <c r="P5" s="59"/>
      <c r="R5" s="60" t="s">
        <v>20</v>
      </c>
      <c r="S5" s="63" t="s">
        <v>21</v>
      </c>
      <c r="T5" s="63"/>
      <c r="U5" s="63"/>
      <c r="V5" s="63"/>
      <c r="W5" s="37" t="s">
        <v>30</v>
      </c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9"/>
    </row>
    <row r="6" spans="1:40" ht="19.5" customHeight="1" x14ac:dyDescent="0.4">
      <c r="B6" s="49" t="s">
        <v>54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R6" s="61"/>
      <c r="S6" s="63" t="s">
        <v>22</v>
      </c>
      <c r="T6" s="63"/>
      <c r="U6" s="63"/>
      <c r="V6" s="63"/>
      <c r="W6" s="28" t="s">
        <v>31</v>
      </c>
      <c r="X6" s="28"/>
      <c r="Y6" s="28"/>
      <c r="Z6" s="28"/>
      <c r="AA6" s="28"/>
      <c r="AB6" s="28"/>
      <c r="AC6" s="28"/>
      <c r="AD6" s="63" t="s">
        <v>25</v>
      </c>
      <c r="AE6" s="63"/>
      <c r="AF6" s="63"/>
      <c r="AG6" s="63"/>
      <c r="AH6" s="28" t="s">
        <v>32</v>
      </c>
      <c r="AI6" s="28"/>
      <c r="AJ6" s="28"/>
      <c r="AK6" s="28"/>
      <c r="AL6" s="28"/>
      <c r="AM6" s="28"/>
      <c r="AN6" s="28"/>
    </row>
    <row r="7" spans="1:40" ht="19.5" customHeight="1" x14ac:dyDescent="0.4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64" t="s">
        <v>2</v>
      </c>
      <c r="P7" s="64"/>
      <c r="R7" s="61"/>
      <c r="S7" s="63" t="s">
        <v>0</v>
      </c>
      <c r="T7" s="63"/>
      <c r="U7" s="63"/>
      <c r="V7" s="63"/>
      <c r="W7" s="37" t="s">
        <v>51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9"/>
    </row>
    <row r="8" spans="1:40" ht="19.5" customHeight="1" x14ac:dyDescent="0.4">
      <c r="R8" s="61"/>
      <c r="S8" s="63" t="s">
        <v>23</v>
      </c>
      <c r="T8" s="63"/>
      <c r="U8" s="63"/>
      <c r="V8" s="63"/>
      <c r="W8" s="28" t="s">
        <v>33</v>
      </c>
      <c r="X8" s="28"/>
      <c r="Y8" s="28"/>
      <c r="Z8" s="28"/>
      <c r="AA8" s="28"/>
      <c r="AB8" s="28"/>
      <c r="AC8" s="28"/>
      <c r="AD8" s="63" t="s">
        <v>1</v>
      </c>
      <c r="AE8" s="63"/>
      <c r="AF8" s="63"/>
      <c r="AG8" s="63"/>
      <c r="AH8" s="28" t="s">
        <v>34</v>
      </c>
      <c r="AI8" s="28"/>
      <c r="AJ8" s="28"/>
      <c r="AK8" s="28"/>
      <c r="AL8" s="28"/>
      <c r="AM8" s="28"/>
      <c r="AN8" s="28"/>
    </row>
    <row r="9" spans="1:40" ht="19.5" customHeight="1" x14ac:dyDescent="0.4">
      <c r="B9" s="18" t="s">
        <v>29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R9" s="62"/>
      <c r="S9" s="63" t="s">
        <v>24</v>
      </c>
      <c r="T9" s="63"/>
      <c r="U9" s="63"/>
      <c r="V9" s="63"/>
      <c r="W9" s="28" t="s">
        <v>35</v>
      </c>
      <c r="X9" s="28"/>
      <c r="Y9" s="28"/>
      <c r="Z9" s="28"/>
      <c r="AA9" s="28"/>
      <c r="AB9" s="28"/>
      <c r="AC9" s="28"/>
      <c r="AD9" s="63" t="s">
        <v>26</v>
      </c>
      <c r="AE9" s="63"/>
      <c r="AF9" s="63"/>
      <c r="AG9" s="63"/>
      <c r="AH9" s="28" t="s">
        <v>36</v>
      </c>
      <c r="AI9" s="28"/>
      <c r="AJ9" s="28"/>
      <c r="AK9" s="28"/>
      <c r="AL9" s="28"/>
      <c r="AM9" s="28"/>
      <c r="AN9" s="28"/>
    </row>
    <row r="10" spans="1:40" ht="19.5" customHeight="1" x14ac:dyDescent="0.4"/>
    <row r="11" spans="1:40" ht="19.5" customHeight="1" x14ac:dyDescent="0.4">
      <c r="A11" s="49" t="s">
        <v>27</v>
      </c>
      <c r="B11" s="49"/>
      <c r="C11" s="49"/>
      <c r="D11" s="49"/>
      <c r="E11" s="49"/>
      <c r="F11" s="50" t="str">
        <f>IF(ISERROR((NUMBERSTRING(X11,1))),"",(NUMBERSTRING(X11,1)))</f>
        <v>일억이천구백칠십팔만오천칠백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49" t="s">
        <v>13</v>
      </c>
      <c r="V11" s="49"/>
      <c r="W11" s="49" t="s">
        <v>11</v>
      </c>
      <c r="X11" s="53">
        <f>IF(SUM(AB14:AJ33)=0,"",SUM(AB14:AJ33))</f>
        <v>129785700</v>
      </c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49" t="s">
        <v>12</v>
      </c>
      <c r="AN11" s="2"/>
    </row>
    <row r="12" spans="1:40" ht="19.5" customHeight="1" x14ac:dyDescent="0.4">
      <c r="A12" s="49"/>
      <c r="B12" s="49"/>
      <c r="C12" s="49"/>
      <c r="D12" s="49"/>
      <c r="E12" s="49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2"/>
      <c r="V12" s="52"/>
      <c r="W12" s="52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2"/>
      <c r="AN12" s="3"/>
    </row>
    <row r="13" spans="1:40" ht="19.5" customHeight="1" x14ac:dyDescent="0.4">
      <c r="A13" s="55" t="s">
        <v>38</v>
      </c>
      <c r="B13" s="55"/>
      <c r="C13" s="24" t="s">
        <v>39</v>
      </c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4" t="s">
        <v>40</v>
      </c>
      <c r="O13" s="25"/>
      <c r="P13" s="25"/>
      <c r="Q13" s="25"/>
      <c r="R13" s="25"/>
      <c r="S13" s="25"/>
      <c r="T13" s="26"/>
      <c r="U13" s="55" t="s">
        <v>41</v>
      </c>
      <c r="V13" s="55"/>
      <c r="W13" s="55"/>
      <c r="X13" s="55" t="s">
        <v>42</v>
      </c>
      <c r="Y13" s="55"/>
      <c r="Z13" s="55"/>
      <c r="AA13" s="55"/>
      <c r="AB13" s="55" t="s">
        <v>43</v>
      </c>
      <c r="AC13" s="55"/>
      <c r="AD13" s="55"/>
      <c r="AE13" s="55"/>
      <c r="AF13" s="55"/>
      <c r="AG13" s="55" t="s">
        <v>44</v>
      </c>
      <c r="AH13" s="55"/>
      <c r="AI13" s="55"/>
      <c r="AJ13" s="55"/>
      <c r="AK13" s="55" t="s">
        <v>45</v>
      </c>
      <c r="AL13" s="55"/>
      <c r="AM13" s="55"/>
      <c r="AN13" s="55"/>
    </row>
    <row r="14" spans="1:40" ht="19.5" customHeight="1" x14ac:dyDescent="0.4">
      <c r="A14" s="28">
        <v>1</v>
      </c>
      <c r="B14" s="28"/>
      <c r="C14" s="34" t="s">
        <v>56</v>
      </c>
      <c r="D14" s="35"/>
      <c r="E14" s="35"/>
      <c r="F14" s="35"/>
      <c r="G14" s="35"/>
      <c r="H14" s="35"/>
      <c r="I14" s="35"/>
      <c r="J14" s="35"/>
      <c r="K14" s="35"/>
      <c r="L14" s="35"/>
      <c r="M14" s="36"/>
      <c r="N14" s="37" t="s">
        <v>85</v>
      </c>
      <c r="O14" s="38"/>
      <c r="P14" s="38"/>
      <c r="Q14" s="38"/>
      <c r="R14" s="38"/>
      <c r="S14" s="38"/>
      <c r="T14" s="39"/>
      <c r="U14" s="33">
        <v>10000</v>
      </c>
      <c r="V14" s="33"/>
      <c r="W14" s="33"/>
      <c r="X14" s="40">
        <v>6000</v>
      </c>
      <c r="Y14" s="41"/>
      <c r="Z14" s="41"/>
      <c r="AA14" s="42"/>
      <c r="AB14" s="27">
        <f>IF(U14*X14&lt;=0,"",U14*X14)</f>
        <v>60000000</v>
      </c>
      <c r="AC14" s="27"/>
      <c r="AD14" s="27"/>
      <c r="AE14" s="27"/>
      <c r="AF14" s="27"/>
      <c r="AG14" s="27">
        <f>IF(AB14="","",AB14*0.1)</f>
        <v>6000000</v>
      </c>
      <c r="AH14" s="27"/>
      <c r="AI14" s="27"/>
      <c r="AJ14" s="27"/>
      <c r="AK14" s="37"/>
      <c r="AL14" s="38"/>
      <c r="AM14" s="38"/>
      <c r="AN14" s="39"/>
    </row>
    <row r="15" spans="1:40" ht="19.5" customHeight="1" x14ac:dyDescent="0.4">
      <c r="A15" s="28">
        <v>2</v>
      </c>
      <c r="B15" s="28"/>
      <c r="C15" s="34" t="s">
        <v>83</v>
      </c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37" t="s">
        <v>85</v>
      </c>
      <c r="O15" s="38"/>
      <c r="P15" s="38"/>
      <c r="Q15" s="38"/>
      <c r="R15" s="38"/>
      <c r="S15" s="38"/>
      <c r="T15" s="39"/>
      <c r="U15" s="33">
        <v>500</v>
      </c>
      <c r="V15" s="33"/>
      <c r="W15" s="33"/>
      <c r="X15" s="40">
        <v>32434</v>
      </c>
      <c r="Y15" s="41"/>
      <c r="Z15" s="41"/>
      <c r="AA15" s="42"/>
      <c r="AB15" s="27">
        <f t="shared" ref="AB15:AB16" si="0">IF(U15*X15&lt;=0,"",U15*X15)</f>
        <v>16217000</v>
      </c>
      <c r="AC15" s="27"/>
      <c r="AD15" s="27"/>
      <c r="AE15" s="27"/>
      <c r="AF15" s="27"/>
      <c r="AG15" s="27">
        <f t="shared" ref="AG15:AG16" si="1">IF(AB15="","",AB15*0.1)</f>
        <v>1621700</v>
      </c>
      <c r="AH15" s="27"/>
      <c r="AI15" s="27"/>
      <c r="AJ15" s="27"/>
      <c r="AK15" s="37"/>
      <c r="AL15" s="38"/>
      <c r="AM15" s="38"/>
      <c r="AN15" s="39"/>
    </row>
    <row r="16" spans="1:40" ht="19.5" customHeight="1" x14ac:dyDescent="0.4">
      <c r="A16" s="28">
        <v>3</v>
      </c>
      <c r="B16" s="28"/>
      <c r="C16" s="34" t="s">
        <v>84</v>
      </c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 t="s">
        <v>85</v>
      </c>
      <c r="O16" s="38"/>
      <c r="P16" s="38"/>
      <c r="Q16" s="38"/>
      <c r="R16" s="38"/>
      <c r="S16" s="38"/>
      <c r="T16" s="39"/>
      <c r="U16" s="33">
        <v>200</v>
      </c>
      <c r="V16" s="33"/>
      <c r="W16" s="33"/>
      <c r="X16" s="40">
        <v>143850</v>
      </c>
      <c r="Y16" s="41"/>
      <c r="Z16" s="41"/>
      <c r="AA16" s="42"/>
      <c r="AB16" s="27">
        <f t="shared" si="0"/>
        <v>28770000</v>
      </c>
      <c r="AC16" s="27"/>
      <c r="AD16" s="27"/>
      <c r="AE16" s="27"/>
      <c r="AF16" s="27"/>
      <c r="AG16" s="27">
        <f t="shared" si="1"/>
        <v>2877000</v>
      </c>
      <c r="AH16" s="27"/>
      <c r="AI16" s="27"/>
      <c r="AJ16" s="27"/>
      <c r="AK16" s="37"/>
      <c r="AL16" s="38"/>
      <c r="AM16" s="38"/>
      <c r="AN16" s="39"/>
    </row>
    <row r="17" spans="1:40" ht="19.5" customHeight="1" x14ac:dyDescent="0.4">
      <c r="A17" s="28">
        <v>4</v>
      </c>
      <c r="B17" s="28"/>
      <c r="C17" s="34" t="s">
        <v>87</v>
      </c>
      <c r="D17" s="35"/>
      <c r="E17" s="35"/>
      <c r="F17" s="35"/>
      <c r="G17" s="35"/>
      <c r="H17" s="35"/>
      <c r="I17" s="35"/>
      <c r="J17" s="35"/>
      <c r="K17" s="35"/>
      <c r="L17" s="35"/>
      <c r="M17" s="36"/>
      <c r="N17" s="37" t="s">
        <v>85</v>
      </c>
      <c r="O17" s="38"/>
      <c r="P17" s="38"/>
      <c r="Q17" s="38"/>
      <c r="R17" s="38"/>
      <c r="S17" s="38"/>
      <c r="T17" s="39"/>
      <c r="U17" s="43">
        <v>1000</v>
      </c>
      <c r="V17" s="44"/>
      <c r="W17" s="45"/>
      <c r="X17" s="27">
        <v>13000</v>
      </c>
      <c r="Y17" s="27"/>
      <c r="Z17" s="27"/>
      <c r="AA17" s="27"/>
      <c r="AB17" s="27">
        <f t="shared" ref="AB17" si="2">IF(U17*X17&lt;=0,"",U17*X17)</f>
        <v>13000000</v>
      </c>
      <c r="AC17" s="27"/>
      <c r="AD17" s="27"/>
      <c r="AE17" s="27"/>
      <c r="AF17" s="27"/>
      <c r="AG17" s="27">
        <f t="shared" ref="AG17" si="3">IF(AB17="","",AB17*0.1)</f>
        <v>1300000</v>
      </c>
      <c r="AH17" s="27"/>
      <c r="AI17" s="27"/>
      <c r="AJ17" s="27"/>
      <c r="AK17" s="28"/>
      <c r="AL17" s="28"/>
      <c r="AM17" s="28"/>
      <c r="AN17" s="28"/>
    </row>
    <row r="18" spans="1:40" ht="19.5" customHeight="1" x14ac:dyDescent="0.4">
      <c r="A18" s="28">
        <v>5</v>
      </c>
      <c r="B18" s="28"/>
      <c r="C18" s="34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34"/>
      <c r="O18" s="35"/>
      <c r="P18" s="35"/>
      <c r="Q18" s="35"/>
      <c r="R18" s="35"/>
      <c r="S18" s="35"/>
      <c r="T18" s="36"/>
      <c r="U18" s="33"/>
      <c r="V18" s="33"/>
      <c r="W18" s="33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8"/>
      <c r="AL18" s="28"/>
      <c r="AM18" s="28"/>
      <c r="AN18" s="28"/>
    </row>
    <row r="19" spans="1:40" ht="19.5" customHeight="1" x14ac:dyDescent="0.4">
      <c r="A19" s="28">
        <v>6</v>
      </c>
      <c r="B19" s="28"/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4"/>
      <c r="O19" s="35"/>
      <c r="P19" s="35"/>
      <c r="Q19" s="35"/>
      <c r="R19" s="35"/>
      <c r="S19" s="35"/>
      <c r="T19" s="36"/>
      <c r="U19" s="33"/>
      <c r="V19" s="33"/>
      <c r="W19" s="33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8"/>
      <c r="AL19" s="28"/>
      <c r="AM19" s="28"/>
      <c r="AN19" s="28"/>
    </row>
    <row r="20" spans="1:40" ht="19.5" customHeight="1" x14ac:dyDescent="0.4">
      <c r="A20" s="28">
        <v>7</v>
      </c>
      <c r="B20" s="28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4"/>
      <c r="O20" s="35"/>
      <c r="P20" s="35"/>
      <c r="Q20" s="35"/>
      <c r="R20" s="35"/>
      <c r="S20" s="35"/>
      <c r="T20" s="36"/>
      <c r="U20" s="43"/>
      <c r="V20" s="44"/>
      <c r="W20" s="45"/>
      <c r="X20" s="40"/>
      <c r="Y20" s="41"/>
      <c r="Z20" s="41"/>
      <c r="AA20" s="42"/>
      <c r="AB20" s="27"/>
      <c r="AC20" s="27"/>
      <c r="AD20" s="27"/>
      <c r="AE20" s="27"/>
      <c r="AF20" s="27"/>
      <c r="AG20" s="27"/>
      <c r="AH20" s="27"/>
      <c r="AI20" s="27"/>
      <c r="AJ20" s="27"/>
      <c r="AK20" s="28"/>
      <c r="AL20" s="28"/>
      <c r="AM20" s="28"/>
      <c r="AN20" s="28"/>
    </row>
    <row r="21" spans="1:40" ht="19.5" customHeight="1" x14ac:dyDescent="0.4">
      <c r="A21" s="28">
        <v>8</v>
      </c>
      <c r="B21" s="28"/>
      <c r="C21" s="34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4"/>
      <c r="O21" s="35"/>
      <c r="P21" s="35"/>
      <c r="Q21" s="35"/>
      <c r="R21" s="35"/>
      <c r="S21" s="35"/>
      <c r="T21" s="36"/>
      <c r="U21" s="43"/>
      <c r="V21" s="44"/>
      <c r="W21" s="45"/>
      <c r="X21" s="40"/>
      <c r="Y21" s="41"/>
      <c r="Z21" s="41"/>
      <c r="AA21" s="42"/>
      <c r="AB21" s="40"/>
      <c r="AC21" s="41"/>
      <c r="AD21" s="41"/>
      <c r="AE21" s="41"/>
      <c r="AF21" s="42"/>
      <c r="AG21" s="40"/>
      <c r="AH21" s="41"/>
      <c r="AI21" s="41"/>
      <c r="AJ21" s="42"/>
      <c r="AK21" s="37"/>
      <c r="AL21" s="38"/>
      <c r="AM21" s="38"/>
      <c r="AN21" s="39"/>
    </row>
    <row r="22" spans="1:40" ht="19.5" customHeight="1" x14ac:dyDescent="0.4">
      <c r="A22" s="28">
        <v>9</v>
      </c>
      <c r="B22" s="28"/>
      <c r="C22" s="34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4"/>
      <c r="O22" s="35"/>
      <c r="P22" s="35"/>
      <c r="Q22" s="35"/>
      <c r="R22" s="35"/>
      <c r="S22" s="35"/>
      <c r="T22" s="36"/>
      <c r="U22" s="33"/>
      <c r="V22" s="33"/>
      <c r="W22" s="33"/>
      <c r="X22" s="40"/>
      <c r="Y22" s="41"/>
      <c r="Z22" s="41"/>
      <c r="AA22" s="42"/>
      <c r="AB22" s="27"/>
      <c r="AC22" s="27"/>
      <c r="AD22" s="27"/>
      <c r="AE22" s="27"/>
      <c r="AF22" s="27"/>
      <c r="AG22" s="27"/>
      <c r="AH22" s="27"/>
      <c r="AI22" s="27"/>
      <c r="AJ22" s="27"/>
      <c r="AK22" s="28"/>
      <c r="AL22" s="28"/>
      <c r="AM22" s="28"/>
      <c r="AN22" s="28"/>
    </row>
    <row r="23" spans="1:40" ht="19.5" customHeight="1" x14ac:dyDescent="0.4">
      <c r="A23" s="28">
        <v>10</v>
      </c>
      <c r="B23" s="28"/>
      <c r="C23" s="34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4"/>
      <c r="O23" s="35"/>
      <c r="P23" s="35"/>
      <c r="Q23" s="35"/>
      <c r="R23" s="35"/>
      <c r="S23" s="35"/>
      <c r="T23" s="36"/>
      <c r="U23" s="43"/>
      <c r="V23" s="44"/>
      <c r="W23" s="45"/>
      <c r="X23" s="40"/>
      <c r="Y23" s="41"/>
      <c r="Z23" s="41"/>
      <c r="AA23" s="42"/>
      <c r="AB23" s="27"/>
      <c r="AC23" s="27"/>
      <c r="AD23" s="27"/>
      <c r="AE23" s="27"/>
      <c r="AF23" s="27"/>
      <c r="AG23" s="27"/>
      <c r="AH23" s="27"/>
      <c r="AI23" s="27"/>
      <c r="AJ23" s="27"/>
      <c r="AK23" s="37"/>
      <c r="AL23" s="38"/>
      <c r="AM23" s="38"/>
      <c r="AN23" s="39"/>
    </row>
    <row r="24" spans="1:40" ht="19.5" customHeight="1" x14ac:dyDescent="0.4">
      <c r="A24" s="28">
        <v>11</v>
      </c>
      <c r="B24" s="28"/>
      <c r="C24" s="34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4"/>
      <c r="O24" s="35"/>
      <c r="P24" s="35"/>
      <c r="Q24" s="35"/>
      <c r="R24" s="35"/>
      <c r="S24" s="35"/>
      <c r="T24" s="36"/>
      <c r="U24" s="43"/>
      <c r="V24" s="44"/>
      <c r="W24" s="45"/>
      <c r="X24" s="40"/>
      <c r="Y24" s="41"/>
      <c r="Z24" s="41"/>
      <c r="AA24" s="42"/>
      <c r="AB24" s="27" t="str">
        <f t="shared" ref="AB24:AB33" si="4">IF(U24*X24&lt;=0,"",U24*X24)</f>
        <v/>
      </c>
      <c r="AC24" s="27"/>
      <c r="AD24" s="27"/>
      <c r="AE24" s="27"/>
      <c r="AF24" s="27"/>
      <c r="AG24" s="27" t="str">
        <f t="shared" ref="AG24:AG34" si="5">IF(AB24="","",AB24*0.1)</f>
        <v/>
      </c>
      <c r="AH24" s="27"/>
      <c r="AI24" s="27"/>
      <c r="AJ24" s="27"/>
      <c r="AK24" s="28"/>
      <c r="AL24" s="28"/>
      <c r="AM24" s="28"/>
      <c r="AN24" s="28"/>
    </row>
    <row r="25" spans="1:40" ht="19.5" customHeight="1" x14ac:dyDescent="0.4">
      <c r="A25" s="28">
        <v>12</v>
      </c>
      <c r="B25" s="28"/>
      <c r="C25" s="46"/>
      <c r="D25" s="47"/>
      <c r="E25" s="47"/>
      <c r="F25" s="47"/>
      <c r="G25" s="47"/>
      <c r="H25" s="47"/>
      <c r="I25" s="47"/>
      <c r="J25" s="47"/>
      <c r="K25" s="47"/>
      <c r="L25" s="47"/>
      <c r="M25" s="48"/>
      <c r="N25" s="37"/>
      <c r="O25" s="38"/>
      <c r="P25" s="38"/>
      <c r="Q25" s="38"/>
      <c r="R25" s="38"/>
      <c r="S25" s="38"/>
      <c r="T25" s="39"/>
      <c r="U25" s="33"/>
      <c r="V25" s="33"/>
      <c r="W25" s="33"/>
      <c r="X25" s="40"/>
      <c r="Y25" s="41"/>
      <c r="Z25" s="41"/>
      <c r="AA25" s="42"/>
      <c r="AB25" s="40" t="str">
        <f t="shared" si="4"/>
        <v/>
      </c>
      <c r="AC25" s="41"/>
      <c r="AD25" s="41"/>
      <c r="AE25" s="41"/>
      <c r="AF25" s="42"/>
      <c r="AG25" s="40" t="str">
        <f t="shared" si="5"/>
        <v/>
      </c>
      <c r="AH25" s="41"/>
      <c r="AI25" s="41"/>
      <c r="AJ25" s="42"/>
      <c r="AK25" s="37"/>
      <c r="AL25" s="38"/>
      <c r="AM25" s="38"/>
      <c r="AN25" s="39"/>
    </row>
    <row r="26" spans="1:40" ht="19.5" customHeight="1" x14ac:dyDescent="0.4">
      <c r="A26" s="28">
        <v>13</v>
      </c>
      <c r="B26" s="28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8"/>
      <c r="N26" s="37"/>
      <c r="O26" s="38"/>
      <c r="P26" s="38"/>
      <c r="Q26" s="38"/>
      <c r="R26" s="38"/>
      <c r="S26" s="38"/>
      <c r="T26" s="39"/>
      <c r="U26" s="33"/>
      <c r="V26" s="33"/>
      <c r="W26" s="33"/>
      <c r="X26" s="40"/>
      <c r="Y26" s="41"/>
      <c r="Z26" s="41"/>
      <c r="AA26" s="42"/>
      <c r="AB26" s="40" t="str">
        <f t="shared" si="4"/>
        <v/>
      </c>
      <c r="AC26" s="41"/>
      <c r="AD26" s="41"/>
      <c r="AE26" s="41"/>
      <c r="AF26" s="42"/>
      <c r="AG26" s="40" t="str">
        <f t="shared" si="5"/>
        <v/>
      </c>
      <c r="AH26" s="41"/>
      <c r="AI26" s="41"/>
      <c r="AJ26" s="42"/>
      <c r="AK26" s="37"/>
      <c r="AL26" s="38"/>
      <c r="AM26" s="38"/>
      <c r="AN26" s="39"/>
    </row>
    <row r="27" spans="1:40" ht="19.5" customHeight="1" x14ac:dyDescent="0.4">
      <c r="A27" s="28">
        <v>14</v>
      </c>
      <c r="B27" s="28"/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8"/>
      <c r="N27" s="37"/>
      <c r="O27" s="38"/>
      <c r="P27" s="38"/>
      <c r="Q27" s="38"/>
      <c r="R27" s="38"/>
      <c r="S27" s="38"/>
      <c r="T27" s="39"/>
      <c r="U27" s="43"/>
      <c r="V27" s="44"/>
      <c r="W27" s="45"/>
      <c r="X27" s="40"/>
      <c r="Y27" s="41"/>
      <c r="Z27" s="41"/>
      <c r="AA27" s="42"/>
      <c r="AB27" s="40" t="str">
        <f t="shared" si="4"/>
        <v/>
      </c>
      <c r="AC27" s="41"/>
      <c r="AD27" s="41"/>
      <c r="AE27" s="41"/>
      <c r="AF27" s="42"/>
      <c r="AG27" s="40" t="str">
        <f t="shared" si="5"/>
        <v/>
      </c>
      <c r="AH27" s="41"/>
      <c r="AI27" s="41"/>
      <c r="AJ27" s="42"/>
      <c r="AK27" s="37"/>
      <c r="AL27" s="38"/>
      <c r="AM27" s="38"/>
      <c r="AN27" s="39"/>
    </row>
    <row r="28" spans="1:40" ht="19.5" customHeight="1" x14ac:dyDescent="0.4">
      <c r="A28" s="28">
        <v>15</v>
      </c>
      <c r="B28" s="28"/>
      <c r="C28" s="34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37"/>
      <c r="O28" s="38"/>
      <c r="P28" s="38"/>
      <c r="Q28" s="38"/>
      <c r="R28" s="38"/>
      <c r="S28" s="38"/>
      <c r="T28" s="39"/>
      <c r="U28" s="43"/>
      <c r="V28" s="44"/>
      <c r="W28" s="45"/>
      <c r="X28" s="40"/>
      <c r="Y28" s="41"/>
      <c r="Z28" s="41"/>
      <c r="AA28" s="42"/>
      <c r="AB28" s="40" t="str">
        <f t="shared" si="4"/>
        <v/>
      </c>
      <c r="AC28" s="41"/>
      <c r="AD28" s="41"/>
      <c r="AE28" s="41"/>
      <c r="AF28" s="42"/>
      <c r="AG28" s="40" t="str">
        <f t="shared" si="5"/>
        <v/>
      </c>
      <c r="AH28" s="41"/>
      <c r="AI28" s="41"/>
      <c r="AJ28" s="42"/>
      <c r="AK28" s="37"/>
      <c r="AL28" s="38"/>
      <c r="AM28" s="38"/>
      <c r="AN28" s="39"/>
    </row>
    <row r="29" spans="1:40" ht="19.5" customHeight="1" x14ac:dyDescent="0.4">
      <c r="A29" s="28">
        <v>16</v>
      </c>
      <c r="B29" s="28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6"/>
      <c r="N29" s="37"/>
      <c r="O29" s="38"/>
      <c r="P29" s="38"/>
      <c r="Q29" s="38"/>
      <c r="R29" s="38"/>
      <c r="S29" s="38"/>
      <c r="T29" s="39"/>
      <c r="U29" s="43"/>
      <c r="V29" s="44"/>
      <c r="W29" s="45"/>
      <c r="X29" s="40"/>
      <c r="Y29" s="41"/>
      <c r="Z29" s="41"/>
      <c r="AA29" s="42"/>
      <c r="AB29" s="40" t="str">
        <f t="shared" si="4"/>
        <v/>
      </c>
      <c r="AC29" s="41"/>
      <c r="AD29" s="41"/>
      <c r="AE29" s="41"/>
      <c r="AF29" s="42"/>
      <c r="AG29" s="40" t="str">
        <f t="shared" si="5"/>
        <v/>
      </c>
      <c r="AH29" s="41"/>
      <c r="AI29" s="41"/>
      <c r="AJ29" s="42"/>
      <c r="AK29" s="37"/>
      <c r="AL29" s="38"/>
      <c r="AM29" s="38"/>
      <c r="AN29" s="39"/>
    </row>
    <row r="30" spans="1:40" ht="19.5" customHeight="1" x14ac:dyDescent="0.4">
      <c r="A30" s="28">
        <v>17</v>
      </c>
      <c r="B30" s="28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6"/>
      <c r="N30" s="37"/>
      <c r="O30" s="38"/>
      <c r="P30" s="38"/>
      <c r="Q30" s="38"/>
      <c r="R30" s="38"/>
      <c r="S30" s="38"/>
      <c r="T30" s="39"/>
      <c r="U30" s="43"/>
      <c r="V30" s="44"/>
      <c r="W30" s="45"/>
      <c r="X30" s="40"/>
      <c r="Y30" s="41"/>
      <c r="Z30" s="41"/>
      <c r="AA30" s="42"/>
      <c r="AB30" s="40" t="str">
        <f t="shared" si="4"/>
        <v/>
      </c>
      <c r="AC30" s="41"/>
      <c r="AD30" s="41"/>
      <c r="AE30" s="41"/>
      <c r="AF30" s="42"/>
      <c r="AG30" s="40" t="str">
        <f t="shared" si="5"/>
        <v/>
      </c>
      <c r="AH30" s="41"/>
      <c r="AI30" s="41"/>
      <c r="AJ30" s="42"/>
      <c r="AK30" s="37"/>
      <c r="AL30" s="38"/>
      <c r="AM30" s="38"/>
      <c r="AN30" s="39"/>
    </row>
    <row r="31" spans="1:40" ht="19.5" customHeight="1" x14ac:dyDescent="0.4">
      <c r="A31" s="28">
        <v>18</v>
      </c>
      <c r="B31" s="28"/>
      <c r="C31" s="34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37"/>
      <c r="O31" s="38"/>
      <c r="P31" s="38"/>
      <c r="Q31" s="38"/>
      <c r="R31" s="38"/>
      <c r="S31" s="38"/>
      <c r="T31" s="39"/>
      <c r="U31" s="33"/>
      <c r="V31" s="33"/>
      <c r="W31" s="33"/>
      <c r="X31" s="27"/>
      <c r="Y31" s="27"/>
      <c r="Z31" s="27"/>
      <c r="AA31" s="27"/>
      <c r="AB31" s="27" t="str">
        <f t="shared" si="4"/>
        <v/>
      </c>
      <c r="AC31" s="27"/>
      <c r="AD31" s="27"/>
      <c r="AE31" s="27"/>
      <c r="AF31" s="27"/>
      <c r="AG31" s="27" t="str">
        <f t="shared" si="5"/>
        <v/>
      </c>
      <c r="AH31" s="27"/>
      <c r="AI31" s="27"/>
      <c r="AJ31" s="27"/>
      <c r="AK31" s="28"/>
      <c r="AL31" s="28"/>
      <c r="AM31" s="28"/>
      <c r="AN31" s="28"/>
    </row>
    <row r="32" spans="1:40" ht="19.5" customHeight="1" x14ac:dyDescent="0.4">
      <c r="A32" s="28">
        <v>19</v>
      </c>
      <c r="B32" s="28"/>
      <c r="C32" s="34"/>
      <c r="D32" s="35"/>
      <c r="E32" s="35"/>
      <c r="F32" s="35"/>
      <c r="G32" s="35"/>
      <c r="H32" s="35"/>
      <c r="I32" s="35"/>
      <c r="J32" s="35"/>
      <c r="K32" s="35"/>
      <c r="L32" s="35"/>
      <c r="M32" s="36"/>
      <c r="N32" s="37"/>
      <c r="O32" s="38"/>
      <c r="P32" s="38"/>
      <c r="Q32" s="38"/>
      <c r="R32" s="38"/>
      <c r="S32" s="38"/>
      <c r="T32" s="39"/>
      <c r="U32" s="33"/>
      <c r="V32" s="33"/>
      <c r="W32" s="33"/>
      <c r="X32" s="27"/>
      <c r="Y32" s="27"/>
      <c r="Z32" s="27"/>
      <c r="AA32" s="27"/>
      <c r="AB32" s="27" t="str">
        <f t="shared" si="4"/>
        <v/>
      </c>
      <c r="AC32" s="27"/>
      <c r="AD32" s="27"/>
      <c r="AE32" s="27"/>
      <c r="AF32" s="27"/>
      <c r="AG32" s="27" t="str">
        <f t="shared" si="5"/>
        <v/>
      </c>
      <c r="AH32" s="27"/>
      <c r="AI32" s="27"/>
      <c r="AJ32" s="27"/>
      <c r="AK32" s="28"/>
      <c r="AL32" s="28"/>
      <c r="AM32" s="28"/>
      <c r="AN32" s="28"/>
    </row>
    <row r="33" spans="1:40" ht="19.5" customHeight="1" x14ac:dyDescent="0.4">
      <c r="A33" s="28">
        <v>20</v>
      </c>
      <c r="B33" s="28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6"/>
      <c r="N33" s="37"/>
      <c r="O33" s="38"/>
      <c r="P33" s="38"/>
      <c r="Q33" s="38"/>
      <c r="R33" s="38"/>
      <c r="S33" s="38"/>
      <c r="T33" s="39"/>
      <c r="U33" s="33"/>
      <c r="V33" s="33"/>
      <c r="W33" s="33"/>
      <c r="X33" s="27"/>
      <c r="Y33" s="27"/>
      <c r="Z33" s="27"/>
      <c r="AA33" s="27"/>
      <c r="AB33" s="27" t="str">
        <f t="shared" si="4"/>
        <v/>
      </c>
      <c r="AC33" s="27"/>
      <c r="AD33" s="27"/>
      <c r="AE33" s="27"/>
      <c r="AF33" s="27"/>
      <c r="AG33" s="27" t="str">
        <f t="shared" si="5"/>
        <v/>
      </c>
      <c r="AH33" s="27"/>
      <c r="AI33" s="27"/>
      <c r="AJ33" s="27"/>
      <c r="AK33" s="28"/>
      <c r="AL33" s="28"/>
      <c r="AM33" s="28"/>
      <c r="AN33" s="28"/>
    </row>
    <row r="34" spans="1:40" ht="19.5" customHeight="1" x14ac:dyDescent="0.4">
      <c r="A34" s="24" t="s">
        <v>46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6"/>
      <c r="AB34" s="27">
        <f>IF(SUM(AB14:AF33)&lt;=0,"",SUM(AB14:AF33))</f>
        <v>117987000</v>
      </c>
      <c r="AC34" s="27"/>
      <c r="AD34" s="27"/>
      <c r="AE34" s="27"/>
      <c r="AF34" s="27"/>
      <c r="AG34" s="27">
        <f t="shared" si="5"/>
        <v>11798700</v>
      </c>
      <c r="AH34" s="27"/>
      <c r="AI34" s="27"/>
      <c r="AJ34" s="27"/>
      <c r="AK34" s="28"/>
      <c r="AL34" s="28"/>
      <c r="AM34" s="28"/>
      <c r="AN34" s="28"/>
    </row>
    <row r="35" spans="1:40" ht="19.5" customHeight="1" x14ac:dyDescent="0.4">
      <c r="A35" s="29" t="s">
        <v>47</v>
      </c>
      <c r="B35" s="30"/>
      <c r="C35" s="30"/>
      <c r="D35" s="30"/>
      <c r="E35" s="30"/>
      <c r="F35" s="31" t="s">
        <v>86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2"/>
    </row>
    <row r="36" spans="1:40" ht="19.5" customHeight="1" x14ac:dyDescent="0.4">
      <c r="A36" s="16" t="s">
        <v>48</v>
      </c>
      <c r="B36" s="17"/>
      <c r="C36" s="17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9"/>
    </row>
    <row r="37" spans="1:40" ht="19.5" customHeight="1" x14ac:dyDescent="0.4">
      <c r="A37" s="16" t="s">
        <v>49</v>
      </c>
      <c r="B37" s="17"/>
      <c r="C37" s="17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9"/>
    </row>
    <row r="38" spans="1:40" ht="19.5" customHeight="1" x14ac:dyDescent="0.4">
      <c r="A38" s="20" t="s">
        <v>50</v>
      </c>
      <c r="B38" s="21"/>
      <c r="C38" s="21"/>
      <c r="D38" s="21"/>
      <c r="E38" s="21"/>
      <c r="F38" s="22" t="s">
        <v>55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</row>
  </sheetData>
  <mergeCells count="217">
    <mergeCell ref="A1:AN2"/>
    <mergeCell ref="R4:AN4"/>
    <mergeCell ref="B5:E5"/>
    <mergeCell ref="F5:P5"/>
    <mergeCell ref="R5:R9"/>
    <mergeCell ref="S5:V5"/>
    <mergeCell ref="W5:AN5"/>
    <mergeCell ref="B6:N7"/>
    <mergeCell ref="S6:V6"/>
    <mergeCell ref="W6:AC6"/>
    <mergeCell ref="AD6:AG6"/>
    <mergeCell ref="AH6:AN6"/>
    <mergeCell ref="O7:P7"/>
    <mergeCell ref="S7:V7"/>
    <mergeCell ref="W7:AN7"/>
    <mergeCell ref="S8:V8"/>
    <mergeCell ref="W8:AC8"/>
    <mergeCell ref="AD8:AG8"/>
    <mergeCell ref="AH8:AN8"/>
    <mergeCell ref="B9:P9"/>
    <mergeCell ref="S9:V9"/>
    <mergeCell ref="W9:AC9"/>
    <mergeCell ref="AD9:AG9"/>
    <mergeCell ref="AH9:AN9"/>
    <mergeCell ref="A11:E12"/>
    <mergeCell ref="F11:T12"/>
    <mergeCell ref="U11:V12"/>
    <mergeCell ref="W11:W12"/>
    <mergeCell ref="X11:AL12"/>
    <mergeCell ref="AM11:AM12"/>
    <mergeCell ref="A13:B13"/>
    <mergeCell ref="U13:W13"/>
    <mergeCell ref="X13:AA13"/>
    <mergeCell ref="AB13:AF13"/>
    <mergeCell ref="AG13:AJ13"/>
    <mergeCell ref="AK13:AN13"/>
    <mergeCell ref="C13:M13"/>
    <mergeCell ref="N13:T13"/>
    <mergeCell ref="AG14:AJ14"/>
    <mergeCell ref="AK14:AN14"/>
    <mergeCell ref="A15:B15"/>
    <mergeCell ref="U15:W15"/>
    <mergeCell ref="X15:AA15"/>
    <mergeCell ref="AB15:AF15"/>
    <mergeCell ref="AG15:AJ15"/>
    <mergeCell ref="AK15:AN15"/>
    <mergeCell ref="A14:B14"/>
    <mergeCell ref="U14:W14"/>
    <mergeCell ref="X14:AA14"/>
    <mergeCell ref="AB14:AF14"/>
    <mergeCell ref="C14:M14"/>
    <mergeCell ref="C15:M15"/>
    <mergeCell ref="N15:T15"/>
    <mergeCell ref="N14:T14"/>
    <mergeCell ref="AG16:AJ16"/>
    <mergeCell ref="AK16:AN16"/>
    <mergeCell ref="A17:B17"/>
    <mergeCell ref="U17:W17"/>
    <mergeCell ref="X17:AA17"/>
    <mergeCell ref="AB17:AF17"/>
    <mergeCell ref="AG17:AJ17"/>
    <mergeCell ref="AK17:AN17"/>
    <mergeCell ref="A16:B16"/>
    <mergeCell ref="U16:W16"/>
    <mergeCell ref="X16:AA16"/>
    <mergeCell ref="AB16:AF16"/>
    <mergeCell ref="C16:M16"/>
    <mergeCell ref="N16:T16"/>
    <mergeCell ref="C17:M17"/>
    <mergeCell ref="N17:T17"/>
    <mergeCell ref="AG18:AJ18"/>
    <mergeCell ref="AK18:AN18"/>
    <mergeCell ref="A19:B19"/>
    <mergeCell ref="U19:W19"/>
    <mergeCell ref="X19:AA19"/>
    <mergeCell ref="AB19:AF19"/>
    <mergeCell ref="AG19:AJ19"/>
    <mergeCell ref="AK19:AN19"/>
    <mergeCell ref="A18:B18"/>
    <mergeCell ref="U18:W18"/>
    <mergeCell ref="X18:AA18"/>
    <mergeCell ref="AB18:AF18"/>
    <mergeCell ref="C18:M18"/>
    <mergeCell ref="N18:O18"/>
    <mergeCell ref="P18:T18"/>
    <mergeCell ref="C19:M19"/>
    <mergeCell ref="N19:O19"/>
    <mergeCell ref="P19:T19"/>
    <mergeCell ref="AG20:AJ20"/>
    <mergeCell ref="AK20:AN20"/>
    <mergeCell ref="A21:B21"/>
    <mergeCell ref="U21:W21"/>
    <mergeCell ref="X21:AA21"/>
    <mergeCell ref="AB21:AF21"/>
    <mergeCell ref="AG21:AJ21"/>
    <mergeCell ref="AK21:AN21"/>
    <mergeCell ref="A20:B20"/>
    <mergeCell ref="U20:W20"/>
    <mergeCell ref="X20:AA20"/>
    <mergeCell ref="AB20:AF20"/>
    <mergeCell ref="C20:M20"/>
    <mergeCell ref="N20:O20"/>
    <mergeCell ref="P20:T20"/>
    <mergeCell ref="C21:M21"/>
    <mergeCell ref="N21:O21"/>
    <mergeCell ref="P21:T21"/>
    <mergeCell ref="AG22:AJ22"/>
    <mergeCell ref="AK22:AN22"/>
    <mergeCell ref="A23:B23"/>
    <mergeCell ref="U23:W23"/>
    <mergeCell ref="X23:AA23"/>
    <mergeCell ref="AB23:AF23"/>
    <mergeCell ref="AG23:AJ23"/>
    <mergeCell ref="AK23:AN23"/>
    <mergeCell ref="A22:B22"/>
    <mergeCell ref="U22:W22"/>
    <mergeCell ref="X22:AA22"/>
    <mergeCell ref="AB22:AF22"/>
    <mergeCell ref="C22:M22"/>
    <mergeCell ref="N22:O22"/>
    <mergeCell ref="P22:T22"/>
    <mergeCell ref="C23:M23"/>
    <mergeCell ref="N23:O23"/>
    <mergeCell ref="P23:T23"/>
    <mergeCell ref="AG24:AJ24"/>
    <mergeCell ref="AK24:AN24"/>
    <mergeCell ref="A25:B25"/>
    <mergeCell ref="U25:W25"/>
    <mergeCell ref="X25:AA25"/>
    <mergeCell ref="AB25:AF25"/>
    <mergeCell ref="AG25:AJ25"/>
    <mergeCell ref="AK25:AN25"/>
    <mergeCell ref="A24:B24"/>
    <mergeCell ref="U24:W24"/>
    <mergeCell ref="X24:AA24"/>
    <mergeCell ref="AB24:AF24"/>
    <mergeCell ref="C24:M24"/>
    <mergeCell ref="N24:O24"/>
    <mergeCell ref="P24:T24"/>
    <mergeCell ref="C25:M25"/>
    <mergeCell ref="N25:T25"/>
    <mergeCell ref="AG26:AJ26"/>
    <mergeCell ref="AK26:AN26"/>
    <mergeCell ref="A27:B27"/>
    <mergeCell ref="U27:W27"/>
    <mergeCell ref="X27:AA27"/>
    <mergeCell ref="AB27:AF27"/>
    <mergeCell ref="AG27:AJ27"/>
    <mergeCell ref="AK27:AN27"/>
    <mergeCell ref="A26:B26"/>
    <mergeCell ref="U26:W26"/>
    <mergeCell ref="X26:AA26"/>
    <mergeCell ref="AB26:AF26"/>
    <mergeCell ref="C26:M26"/>
    <mergeCell ref="N26:T26"/>
    <mergeCell ref="C27:M27"/>
    <mergeCell ref="N27:T27"/>
    <mergeCell ref="AG28:AJ28"/>
    <mergeCell ref="AK28:AN28"/>
    <mergeCell ref="A29:B29"/>
    <mergeCell ref="U29:W29"/>
    <mergeCell ref="X29:AA29"/>
    <mergeCell ref="AB29:AF29"/>
    <mergeCell ref="AG29:AJ29"/>
    <mergeCell ref="AK29:AN29"/>
    <mergeCell ref="A28:B28"/>
    <mergeCell ref="U28:W28"/>
    <mergeCell ref="X28:AA28"/>
    <mergeCell ref="AB28:AF28"/>
    <mergeCell ref="C28:M28"/>
    <mergeCell ref="N28:T28"/>
    <mergeCell ref="C29:M29"/>
    <mergeCell ref="N29:T29"/>
    <mergeCell ref="AG30:AJ30"/>
    <mergeCell ref="AK30:AN30"/>
    <mergeCell ref="A31:B31"/>
    <mergeCell ref="U31:W31"/>
    <mergeCell ref="X31:AA31"/>
    <mergeCell ref="AB31:AF31"/>
    <mergeCell ref="AG31:AJ31"/>
    <mergeCell ref="AK31:AN31"/>
    <mergeCell ref="A30:B30"/>
    <mergeCell ref="U30:W30"/>
    <mergeCell ref="X30:AA30"/>
    <mergeCell ref="AB30:AF30"/>
    <mergeCell ref="C30:M30"/>
    <mergeCell ref="N30:T30"/>
    <mergeCell ref="C31:M31"/>
    <mergeCell ref="N31:T31"/>
    <mergeCell ref="AG32:AJ32"/>
    <mergeCell ref="AK32:AN32"/>
    <mergeCell ref="A33:B33"/>
    <mergeCell ref="U33:W33"/>
    <mergeCell ref="X33:AA33"/>
    <mergeCell ref="AB33:AF33"/>
    <mergeCell ref="AG33:AJ33"/>
    <mergeCell ref="AK33:AN33"/>
    <mergeCell ref="A32:B32"/>
    <mergeCell ref="U32:W32"/>
    <mergeCell ref="X32:AA32"/>
    <mergeCell ref="AB32:AF32"/>
    <mergeCell ref="C32:M32"/>
    <mergeCell ref="N32:T32"/>
    <mergeCell ref="C33:M33"/>
    <mergeCell ref="N33:T33"/>
    <mergeCell ref="A36:E36"/>
    <mergeCell ref="F36:AN36"/>
    <mergeCell ref="A37:E37"/>
    <mergeCell ref="F37:AN37"/>
    <mergeCell ref="A38:E38"/>
    <mergeCell ref="F38:AN38"/>
    <mergeCell ref="A34:AA34"/>
    <mergeCell ref="AB34:AF34"/>
    <mergeCell ref="AG34:AJ34"/>
    <mergeCell ref="AK34:AN34"/>
    <mergeCell ref="A35:E35"/>
    <mergeCell ref="F35:AN35"/>
  </mergeCells>
  <phoneticPr fontId="1" type="noConversion"/>
  <printOptions horizontalCentered="1"/>
  <pageMargins left="0.39370078740157483" right="0.39370078740157483" top="0.59055118110236227" bottom="0.39370078740157483" header="0" footer="0.19685039370078741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E74C-8D24-473D-A3D7-B5D1FDE98D94}">
  <dimension ref="A1:J8"/>
  <sheetViews>
    <sheetView workbookViewId="0">
      <selection activeCell="J8" sqref="J8"/>
    </sheetView>
  </sheetViews>
  <sheetFormatPr defaultRowHeight="17.399999999999999" x14ac:dyDescent="0.4"/>
  <cols>
    <col min="4" max="4" width="9" customWidth="1"/>
    <col min="5" max="5" width="29.8984375" customWidth="1"/>
    <col min="6" max="6" width="9.8984375" bestFit="1" customWidth="1"/>
    <col min="10" max="10" width="13" bestFit="1" customWidth="1"/>
  </cols>
  <sheetData>
    <row r="1" spans="1:10" x14ac:dyDescent="0.4">
      <c r="A1" t="s">
        <v>58</v>
      </c>
    </row>
    <row r="3" spans="1:10" x14ac:dyDescent="0.4">
      <c r="A3" t="s">
        <v>67</v>
      </c>
      <c r="G3" t="s">
        <v>68</v>
      </c>
    </row>
    <row r="4" spans="1:10" x14ac:dyDescent="0.4">
      <c r="A4" s="8" t="s">
        <v>59</v>
      </c>
      <c r="B4" s="8" t="s">
        <v>74</v>
      </c>
      <c r="C4" s="8" t="s">
        <v>57</v>
      </c>
      <c r="D4" s="8" t="s">
        <v>63</v>
      </c>
      <c r="E4" s="8" t="s">
        <v>66</v>
      </c>
      <c r="G4" s="9"/>
      <c r="H4" s="9" t="s">
        <v>6</v>
      </c>
      <c r="I4" s="9" t="s">
        <v>72</v>
      </c>
      <c r="J4" s="14" t="s">
        <v>73</v>
      </c>
    </row>
    <row r="5" spans="1:10" x14ac:dyDescent="0.4">
      <c r="A5" s="7" t="s">
        <v>60</v>
      </c>
      <c r="B5" s="6" t="s">
        <v>75</v>
      </c>
      <c r="C5" s="6">
        <v>0</v>
      </c>
      <c r="D5" s="6">
        <v>1400</v>
      </c>
      <c r="E5" s="5" t="s">
        <v>64</v>
      </c>
      <c r="G5" s="7" t="s">
        <v>69</v>
      </c>
      <c r="H5" s="6">
        <v>1000</v>
      </c>
      <c r="I5" s="6">
        <v>5000</v>
      </c>
      <c r="J5" s="15">
        <f>C7+C6+I5-H5</f>
        <v>17285</v>
      </c>
    </row>
    <row r="6" spans="1:10" x14ac:dyDescent="0.4">
      <c r="A6" s="7" t="s">
        <v>61</v>
      </c>
      <c r="B6" s="6" t="s">
        <v>76</v>
      </c>
      <c r="C6" s="6">
        <v>3142</v>
      </c>
      <c r="D6" s="6">
        <v>92</v>
      </c>
      <c r="E6" s="5" t="s">
        <v>65</v>
      </c>
      <c r="G6" s="7" t="s">
        <v>70</v>
      </c>
      <c r="H6" s="6">
        <v>6000</v>
      </c>
      <c r="I6" s="6"/>
      <c r="J6" s="15">
        <f>J5+I6-H6</f>
        <v>11285</v>
      </c>
    </row>
    <row r="7" spans="1:10" x14ac:dyDescent="0.4">
      <c r="A7" s="10" t="s">
        <v>62</v>
      </c>
      <c r="B7" s="11" t="s">
        <v>77</v>
      </c>
      <c r="C7" s="11">
        <v>10143</v>
      </c>
      <c r="D7" s="11">
        <v>2</v>
      </c>
      <c r="E7" s="12" t="s">
        <v>78</v>
      </c>
      <c r="F7" s="13"/>
      <c r="G7" s="7" t="s">
        <v>71</v>
      </c>
      <c r="H7" s="6">
        <v>10000</v>
      </c>
      <c r="I7" s="6">
        <v>5000</v>
      </c>
      <c r="J7" s="15">
        <f>J6+I7-H7</f>
        <v>6285</v>
      </c>
    </row>
    <row r="8" spans="1:10" x14ac:dyDescent="0.4">
      <c r="A8" s="7" t="s">
        <v>80</v>
      </c>
      <c r="B8" s="6" t="s">
        <v>81</v>
      </c>
      <c r="C8" s="6">
        <v>4998</v>
      </c>
      <c r="D8" s="6"/>
      <c r="E8" s="5"/>
      <c r="G8" s="7" t="s">
        <v>79</v>
      </c>
      <c r="H8" s="6">
        <v>8000</v>
      </c>
      <c r="I8" s="6">
        <v>10000</v>
      </c>
      <c r="J8" s="15">
        <f>J7+I8-H8</f>
        <v>8285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발주서 (대광단조)</vt:lpstr>
      <vt:lpstr>발주서 디와이모터스)</vt:lpstr>
      <vt:lpstr>Sheet1</vt:lpstr>
    </vt:vector>
  </TitlesOfParts>
  <Company>ttemp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WOOSUNG</dc:creator>
  <cp:lastModifiedBy>민수 김</cp:lastModifiedBy>
  <cp:lastPrinted>2026-04-16T00:45:16Z</cp:lastPrinted>
  <dcterms:created xsi:type="dcterms:W3CDTF">2016-01-13T05:08:25Z</dcterms:created>
  <dcterms:modified xsi:type="dcterms:W3CDTF">2026-04-19T23:41:51Z</dcterms:modified>
</cp:coreProperties>
</file>