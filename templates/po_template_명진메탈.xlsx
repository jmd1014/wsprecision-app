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n86\Google 드라이브\행정\발주서\2026\"/>
    </mc:Choice>
  </mc:AlternateContent>
  <xr:revisionPtr revIDLastSave="0" documentId="13_ncr:1_{A97CD7AC-BAEA-4854-8D26-760BB0891D74}" xr6:coauthVersionLast="47" xr6:coauthVersionMax="47" xr10:uidLastSave="{00000000-0000-0000-0000-000000000000}"/>
  <bookViews>
    <workbookView xWindow="2325" yWindow="0" windowWidth="25785" windowHeight="15345" firstSheet="3" activeTab="5" xr2:uid="{00000000-000D-0000-FFFF-FFFF00000000}"/>
  </bookViews>
  <sheets>
    <sheet name="FLANGE" sheetId="1" r:id="rId1"/>
    <sheet name="B FLANGE" sheetId="2" r:id="rId2"/>
    <sheet name="R FLANGE" sheetId="3" r:id="rId3"/>
    <sheet name="P FLANGE" sheetId="4" r:id="rId4"/>
    <sheet name="J FLANGE" sheetId="5" r:id="rId5"/>
    <sheet name="발주서" sheetId="6" r:id="rId6"/>
    <sheet name="미진(1)" sheetId="7" r:id="rId7"/>
    <sheet name="미진(2)" sheetId="8" r:id="rId8"/>
    <sheet name="미진(3)" sheetId="9" r:id="rId9"/>
    <sheet name="미진(4)" sheetId="10" r:id="rId10"/>
    <sheet name="HDX" sheetId="11" r:id="rId11"/>
    <sheet name="HDX (2)" sheetId="12" r:id="rId12"/>
    <sheet name="MSP" sheetId="13" r:id="rId13"/>
    <sheet name="MSP (2)" sheetId="14" r:id="rId14"/>
    <sheet name="DIC" sheetId="15" r:id="rId15"/>
    <sheet name="티아이씨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20" roundtripDataChecksum="QZz1rslFepXw/adKWnQYykKlUJ8zzNb0eeZHBW4bIjo="/>
    </ext>
  </extLst>
</workbook>
</file>

<file path=xl/calcChain.xml><?xml version="1.0" encoding="utf-8"?>
<calcChain xmlns="http://schemas.openxmlformats.org/spreadsheetml/2006/main">
  <c r="AB33" i="16" l="1"/>
  <c r="AG33" i="16" s="1"/>
  <c r="AB32" i="16"/>
  <c r="AG32" i="16" s="1"/>
  <c r="AB31" i="16"/>
  <c r="AG31" i="16" s="1"/>
  <c r="AB30" i="16"/>
  <c r="AG30" i="16" s="1"/>
  <c r="AB29" i="16"/>
  <c r="AG29" i="16" s="1"/>
  <c r="AB28" i="16"/>
  <c r="AG28" i="16" s="1"/>
  <c r="AB27" i="16"/>
  <c r="AG27" i="16" s="1"/>
  <c r="AB26" i="16"/>
  <c r="AG26" i="16" s="1"/>
  <c r="AB25" i="16"/>
  <c r="AG25" i="16" s="1"/>
  <c r="AB24" i="16"/>
  <c r="AB34" i="16" s="1"/>
  <c r="AG34" i="16" s="1"/>
  <c r="F5" i="16"/>
  <c r="AG34" i="15"/>
  <c r="AB34" i="15"/>
  <c r="AB33" i="15"/>
  <c r="AG33" i="15" s="1"/>
  <c r="AG32" i="15"/>
  <c r="AB32" i="15"/>
  <c r="AG31" i="15"/>
  <c r="AB31" i="15"/>
  <c r="AB30" i="15"/>
  <c r="AG30" i="15" s="1"/>
  <c r="AB29" i="15"/>
  <c r="AG29" i="15" s="1"/>
  <c r="AG26" i="15"/>
  <c r="AB26" i="15"/>
  <c r="AB25" i="15"/>
  <c r="AG25" i="15" s="1"/>
  <c r="AG24" i="15"/>
  <c r="AB24" i="15"/>
  <c r="AG23" i="15"/>
  <c r="AB23" i="15"/>
  <c r="AB22" i="15"/>
  <c r="AG22" i="15" s="1"/>
  <c r="AB21" i="15"/>
  <c r="AG21" i="15" s="1"/>
  <c r="AG18" i="15"/>
  <c r="AB18" i="15"/>
  <c r="AB17" i="15"/>
  <c r="AG17" i="15" s="1"/>
  <c r="AG16" i="15"/>
  <c r="AB16" i="15"/>
  <c r="AG15" i="15"/>
  <c r="AB15" i="15"/>
  <c r="AB35" i="15" s="1"/>
  <c r="AG35" i="15" s="1"/>
  <c r="F6" i="15"/>
  <c r="AB35" i="14"/>
  <c r="AG35" i="14" s="1"/>
  <c r="AB15" i="14"/>
  <c r="AG15" i="14" s="1"/>
  <c r="X12" i="14" s="1"/>
  <c r="F12" i="14" s="1"/>
  <c r="F6" i="14"/>
  <c r="AB34" i="13"/>
  <c r="AG34" i="13" s="1"/>
  <c r="AG33" i="13"/>
  <c r="AB33" i="13"/>
  <c r="AG32" i="13"/>
  <c r="AB32" i="13"/>
  <c r="AB31" i="13"/>
  <c r="AG31" i="13" s="1"/>
  <c r="AG30" i="13"/>
  <c r="AB30" i="13"/>
  <c r="AG29" i="13"/>
  <c r="AB29" i="13"/>
  <c r="AB28" i="13"/>
  <c r="AG28" i="13" s="1"/>
  <c r="AG27" i="13"/>
  <c r="AB27" i="13"/>
  <c r="AG26" i="13"/>
  <c r="AB26" i="13"/>
  <c r="AB25" i="13"/>
  <c r="AG25" i="13" s="1"/>
  <c r="AG23" i="13"/>
  <c r="AB23" i="13"/>
  <c r="AG22" i="13"/>
  <c r="AB22" i="13"/>
  <c r="AB21" i="13"/>
  <c r="AG21" i="13" s="1"/>
  <c r="AG20" i="13"/>
  <c r="AB20" i="13"/>
  <c r="AG19" i="13"/>
  <c r="AB19" i="13"/>
  <c r="AB18" i="13"/>
  <c r="AG18" i="13" s="1"/>
  <c r="AG17" i="13"/>
  <c r="AB17" i="13"/>
  <c r="AG16" i="13"/>
  <c r="AB16" i="13"/>
  <c r="AB35" i="13" s="1"/>
  <c r="AG35" i="13" s="1"/>
  <c r="F6" i="13"/>
  <c r="AB35" i="12"/>
  <c r="AG35" i="12" s="1"/>
  <c r="AB15" i="12"/>
  <c r="AG15" i="12" s="1"/>
  <c r="X12" i="12" s="1"/>
  <c r="F12" i="12" s="1"/>
  <c r="F6" i="12"/>
  <c r="AB34" i="11"/>
  <c r="AG34" i="11" s="1"/>
  <c r="AG33" i="11"/>
  <c r="AB33" i="11"/>
  <c r="AG32" i="11"/>
  <c r="AB32" i="11"/>
  <c r="AB31" i="11"/>
  <c r="AG31" i="11" s="1"/>
  <c r="AG30" i="11"/>
  <c r="AB30" i="11"/>
  <c r="AG29" i="11"/>
  <c r="AB29" i="11"/>
  <c r="AB28" i="11"/>
  <c r="AG28" i="11" s="1"/>
  <c r="AG27" i="11"/>
  <c r="AB27" i="11"/>
  <c r="AG26" i="11"/>
  <c r="AB26" i="11"/>
  <c r="AB25" i="11"/>
  <c r="AG25" i="11" s="1"/>
  <c r="AG24" i="11"/>
  <c r="AB24" i="11"/>
  <c r="AG23" i="11"/>
  <c r="AB23" i="11"/>
  <c r="AB22" i="11"/>
  <c r="AG22" i="11" s="1"/>
  <c r="AG21" i="11"/>
  <c r="AB21" i="11"/>
  <c r="AG20" i="11"/>
  <c r="AB20" i="11"/>
  <c r="AB19" i="11"/>
  <c r="AG19" i="11" s="1"/>
  <c r="AG18" i="11"/>
  <c r="AB18" i="11"/>
  <c r="AG17" i="11"/>
  <c r="AB17" i="11"/>
  <c r="AB16" i="11"/>
  <c r="AG16" i="11" s="1"/>
  <c r="AG15" i="11"/>
  <c r="AB15" i="11"/>
  <c r="AB35" i="11" s="1"/>
  <c r="AG35" i="11" s="1"/>
  <c r="F6" i="11"/>
  <c r="AB35" i="10"/>
  <c r="AG35" i="10" s="1"/>
  <c r="X12" i="10"/>
  <c r="F12" i="10" s="1"/>
  <c r="F6" i="10"/>
  <c r="AB35" i="9"/>
  <c r="AG35" i="9" s="1"/>
  <c r="X12" i="9"/>
  <c r="F12" i="9" s="1"/>
  <c r="F6" i="9"/>
  <c r="AB35" i="8"/>
  <c r="AG35" i="8" s="1"/>
  <c r="X12" i="8"/>
  <c r="F12" i="8"/>
  <c r="F6" i="8"/>
  <c r="AB34" i="7"/>
  <c r="AG34" i="7" s="1"/>
  <c r="AG33" i="7"/>
  <c r="AB33" i="7"/>
  <c r="AG32" i="7"/>
  <c r="AB32" i="7"/>
  <c r="AB31" i="7"/>
  <c r="AG31" i="7" s="1"/>
  <c r="AG30" i="7"/>
  <c r="AB30" i="7"/>
  <c r="AB29" i="7"/>
  <c r="AG29" i="7" s="1"/>
  <c r="AB28" i="7"/>
  <c r="AG28" i="7" s="1"/>
  <c r="AG27" i="7"/>
  <c r="AB27" i="7"/>
  <c r="AG26" i="7"/>
  <c r="AB26" i="7"/>
  <c r="AB25" i="7"/>
  <c r="AG25" i="7" s="1"/>
  <c r="AG24" i="7"/>
  <c r="AB24" i="7"/>
  <c r="AB23" i="7"/>
  <c r="AG23" i="7" s="1"/>
  <c r="AB22" i="7"/>
  <c r="AG22" i="7" s="1"/>
  <c r="AG21" i="7"/>
  <c r="AB21" i="7"/>
  <c r="AG20" i="7"/>
  <c r="AB20" i="7"/>
  <c r="AB19" i="7"/>
  <c r="AG19" i="7" s="1"/>
  <c r="AG18" i="7"/>
  <c r="AB18" i="7"/>
  <c r="AB17" i="7"/>
  <c r="AG17" i="7" s="1"/>
  <c r="AB16" i="7"/>
  <c r="AG16" i="7" s="1"/>
  <c r="AG15" i="7"/>
  <c r="AB15" i="7"/>
  <c r="F6" i="7"/>
  <c r="AG33" i="6"/>
  <c r="AB33" i="6"/>
  <c r="AB32" i="6"/>
  <c r="AG32" i="6" s="1"/>
  <c r="AB31" i="6"/>
  <c r="AG31" i="6" s="1"/>
  <c r="AB30" i="6"/>
  <c r="AG30" i="6" s="1"/>
  <c r="F5" i="6"/>
  <c r="AB34" i="5"/>
  <c r="AG34" i="5" s="1"/>
  <c r="AB33" i="5"/>
  <c r="AG33" i="5" s="1"/>
  <c r="AG32" i="5"/>
  <c r="AB32" i="5"/>
  <c r="AG31" i="5"/>
  <c r="AB31" i="5"/>
  <c r="AB30" i="5"/>
  <c r="AG30" i="5" s="1"/>
  <c r="AG29" i="5"/>
  <c r="AB29" i="5"/>
  <c r="AB28" i="5"/>
  <c r="AG28" i="5" s="1"/>
  <c r="AB27" i="5"/>
  <c r="AG27" i="5" s="1"/>
  <c r="AG26" i="5"/>
  <c r="AB26" i="5"/>
  <c r="AG25" i="5"/>
  <c r="AB25" i="5"/>
  <c r="AB24" i="5"/>
  <c r="AG24" i="5" s="1"/>
  <c r="AG23" i="5"/>
  <c r="AB23" i="5"/>
  <c r="AB22" i="5"/>
  <c r="AG22" i="5" s="1"/>
  <c r="AB21" i="5"/>
  <c r="AG21" i="5" s="1"/>
  <c r="AG20" i="5"/>
  <c r="AB20" i="5"/>
  <c r="AG19" i="5"/>
  <c r="AB19" i="5"/>
  <c r="AB18" i="5"/>
  <c r="AG18" i="5" s="1"/>
  <c r="AG17" i="5"/>
  <c r="AB17" i="5"/>
  <c r="AB35" i="5" s="1"/>
  <c r="AG35" i="5" s="1"/>
  <c r="AB16" i="5"/>
  <c r="AG16" i="5" s="1"/>
  <c r="AB15" i="5"/>
  <c r="AG15" i="5" s="1"/>
  <c r="F6" i="5"/>
  <c r="AB34" i="4"/>
  <c r="AG34" i="4" s="1"/>
  <c r="AG33" i="4"/>
  <c r="AB33" i="4"/>
  <c r="AG32" i="4"/>
  <c r="AB32" i="4"/>
  <c r="AB31" i="4"/>
  <c r="AG31" i="4" s="1"/>
  <c r="AB30" i="4"/>
  <c r="AG30" i="4" s="1"/>
  <c r="AB29" i="4"/>
  <c r="AG29" i="4" s="1"/>
  <c r="AB28" i="4"/>
  <c r="AG28" i="4" s="1"/>
  <c r="AG27" i="4"/>
  <c r="AB27" i="4"/>
  <c r="AG26" i="4"/>
  <c r="AB26" i="4"/>
  <c r="AB25" i="4"/>
  <c r="AG25" i="4" s="1"/>
  <c r="AB24" i="4"/>
  <c r="AG24" i="4" s="1"/>
  <c r="AB23" i="4"/>
  <c r="AG23" i="4" s="1"/>
  <c r="AB22" i="4"/>
  <c r="AG22" i="4" s="1"/>
  <c r="AG21" i="4"/>
  <c r="AB21" i="4"/>
  <c r="AG20" i="4"/>
  <c r="AB20" i="4"/>
  <c r="AB19" i="4"/>
  <c r="AG19" i="4" s="1"/>
  <c r="AB18" i="4"/>
  <c r="AG18" i="4" s="1"/>
  <c r="AB17" i="4"/>
  <c r="AG17" i="4" s="1"/>
  <c r="AB16" i="4"/>
  <c r="AB35" i="4" s="1"/>
  <c r="AG35" i="4" s="1"/>
  <c r="AG15" i="4"/>
  <c r="AB15" i="4"/>
  <c r="F6" i="4"/>
  <c r="AB34" i="3"/>
  <c r="AG34" i="3" s="1"/>
  <c r="AB33" i="3"/>
  <c r="AG33" i="3" s="1"/>
  <c r="AG32" i="3"/>
  <c r="AB32" i="3"/>
  <c r="AB31" i="3"/>
  <c r="AG31" i="3" s="1"/>
  <c r="AB30" i="3"/>
  <c r="AG30" i="3" s="1"/>
  <c r="AG29" i="3"/>
  <c r="AB29" i="3"/>
  <c r="AB28" i="3"/>
  <c r="AG28" i="3" s="1"/>
  <c r="AB27" i="3"/>
  <c r="AG27" i="3" s="1"/>
  <c r="AG26" i="3"/>
  <c r="AB26" i="3"/>
  <c r="AB25" i="3"/>
  <c r="AG25" i="3" s="1"/>
  <c r="AB24" i="3"/>
  <c r="AG24" i="3" s="1"/>
  <c r="AG23" i="3"/>
  <c r="AB23" i="3"/>
  <c r="AB22" i="3"/>
  <c r="AG22" i="3" s="1"/>
  <c r="AB21" i="3"/>
  <c r="AG21" i="3" s="1"/>
  <c r="AG20" i="3"/>
  <c r="AB20" i="3"/>
  <c r="AB19" i="3"/>
  <c r="AG19" i="3" s="1"/>
  <c r="AB18" i="3"/>
  <c r="AG18" i="3" s="1"/>
  <c r="AG17" i="3"/>
  <c r="AB17" i="3"/>
  <c r="AB16" i="3"/>
  <c r="AG16" i="3" s="1"/>
  <c r="AB15" i="3"/>
  <c r="AB35" i="3" s="1"/>
  <c r="AG35" i="3" s="1"/>
  <c r="F6" i="3"/>
  <c r="AB34" i="2"/>
  <c r="AG34" i="2" s="1"/>
  <c r="AB33" i="2"/>
  <c r="AG33" i="2" s="1"/>
  <c r="AG32" i="2"/>
  <c r="AB32" i="2"/>
  <c r="AB31" i="2"/>
  <c r="AG31" i="2" s="1"/>
  <c r="AG30" i="2"/>
  <c r="AB30" i="2"/>
  <c r="AG29" i="2"/>
  <c r="AB29" i="2"/>
  <c r="AB28" i="2"/>
  <c r="AG28" i="2" s="1"/>
  <c r="AB27" i="2"/>
  <c r="AG27" i="2" s="1"/>
  <c r="AG26" i="2"/>
  <c r="AB26" i="2"/>
  <c r="AB25" i="2"/>
  <c r="AG25" i="2" s="1"/>
  <c r="AG24" i="2"/>
  <c r="AB24" i="2"/>
  <c r="AG23" i="2"/>
  <c r="AB23" i="2"/>
  <c r="AB22" i="2"/>
  <c r="AG22" i="2" s="1"/>
  <c r="AB21" i="2"/>
  <c r="AG21" i="2" s="1"/>
  <c r="AB20" i="2"/>
  <c r="AG20" i="2" s="1"/>
  <c r="AB19" i="2"/>
  <c r="AG19" i="2" s="1"/>
  <c r="AG18" i="2"/>
  <c r="AB18" i="2"/>
  <c r="AG17" i="2"/>
  <c r="AB17" i="2"/>
  <c r="AB16" i="2"/>
  <c r="AG16" i="2" s="1"/>
  <c r="AB15" i="2"/>
  <c r="AG15" i="2" s="1"/>
  <c r="F6" i="2"/>
  <c r="AB34" i="1"/>
  <c r="AG34" i="1" s="1"/>
  <c r="AG33" i="1"/>
  <c r="AB33" i="1"/>
  <c r="AG32" i="1"/>
  <c r="AB32" i="1"/>
  <c r="AB31" i="1"/>
  <c r="AG31" i="1" s="1"/>
  <c r="AB30" i="1"/>
  <c r="AG30" i="1" s="1"/>
  <c r="AB29" i="1"/>
  <c r="AG29" i="1" s="1"/>
  <c r="AB28" i="1"/>
  <c r="AG28" i="1" s="1"/>
  <c r="AG27" i="1"/>
  <c r="AB27" i="1"/>
  <c r="AG26" i="1"/>
  <c r="AB26" i="1"/>
  <c r="AB25" i="1"/>
  <c r="AG25" i="1" s="1"/>
  <c r="AB24" i="1"/>
  <c r="AG24" i="1" s="1"/>
  <c r="AB23" i="1"/>
  <c r="AG23" i="1" s="1"/>
  <c r="AB22" i="1"/>
  <c r="AG22" i="1" s="1"/>
  <c r="AG21" i="1"/>
  <c r="AB21" i="1"/>
  <c r="AG20" i="1"/>
  <c r="AB20" i="1"/>
  <c r="AB19" i="1"/>
  <c r="AG19" i="1" s="1"/>
  <c r="AB18" i="1"/>
  <c r="AG18" i="1" s="1"/>
  <c r="AB17" i="1"/>
  <c r="AG17" i="1" s="1"/>
  <c r="AB16" i="1"/>
  <c r="AG16" i="1" s="1"/>
  <c r="AG15" i="1"/>
  <c r="AB15" i="1"/>
  <c r="F6" i="1"/>
  <c r="AB34" i="6" l="1"/>
  <c r="AG34" i="6" s="1"/>
  <c r="X12" i="1"/>
  <c r="F12" i="1" s="1"/>
  <c r="X12" i="11"/>
  <c r="F12" i="11" s="1"/>
  <c r="X12" i="2"/>
  <c r="F12" i="2" s="1"/>
  <c r="X12" i="5"/>
  <c r="F12" i="5" s="1"/>
  <c r="X12" i="7"/>
  <c r="F12" i="7" s="1"/>
  <c r="AB35" i="2"/>
  <c r="AG35" i="2" s="1"/>
  <c r="X12" i="13"/>
  <c r="F12" i="13" s="1"/>
  <c r="X12" i="15"/>
  <c r="F12" i="15" s="1"/>
  <c r="AG16" i="4"/>
  <c r="X12" i="4" s="1"/>
  <c r="F12" i="4" s="1"/>
  <c r="AB35" i="7"/>
  <c r="AG35" i="7" s="1"/>
  <c r="X11" i="16"/>
  <c r="F11" i="16" s="1"/>
  <c r="AG24" i="16"/>
  <c r="AG15" i="3"/>
  <c r="X12" i="3" s="1"/>
  <c r="F12" i="3" s="1"/>
  <c r="AB35" i="1"/>
  <c r="AG35" i="1" s="1"/>
  <c r="X11" i="6"/>
  <c r="F11" i="6" s="1"/>
</calcChain>
</file>

<file path=xl/sharedStrings.xml><?xml version="1.0" encoding="utf-8"?>
<sst xmlns="http://schemas.openxmlformats.org/spreadsheetml/2006/main" count="1156" uniqueCount="494">
  <si>
    <t>발 주 서</t>
  </si>
  <si>
    <t>NO. 0905</t>
  </si>
  <si>
    <t xml:space="preserve">발 주 일 : </t>
  </si>
  <si>
    <t>.</t>
  </si>
  <si>
    <t>등록번호</t>
  </si>
  <si>
    <t>606-02-14529</t>
  </si>
  <si>
    <t>명진메탈</t>
  </si>
  <si>
    <t>상 호 명</t>
  </si>
  <si>
    <t>우성정밀</t>
  </si>
  <si>
    <t>대 표 자</t>
  </si>
  <si>
    <t>김태식</t>
  </si>
  <si>
    <t>귀하</t>
  </si>
  <si>
    <t>주     소</t>
  </si>
  <si>
    <t>부산시 기장군 정관상곡2길 25-27</t>
  </si>
  <si>
    <t>업     태</t>
  </si>
  <si>
    <t>제조</t>
  </si>
  <si>
    <t>종     목</t>
  </si>
  <si>
    <t>자동차부품</t>
  </si>
  <si>
    <t>아래와 같이 발주 합니다.</t>
  </si>
  <si>
    <t>연 락 처</t>
  </si>
  <si>
    <t>051-527-9963</t>
  </si>
  <si>
    <t>팩스번호</t>
  </si>
  <si>
    <t>051-526-6024</t>
  </si>
  <si>
    <t>발주금액 :</t>
  </si>
  <si>
    <t>원정</t>
  </si>
  <si>
    <t>(</t>
  </si>
  <si>
    <t>)</t>
  </si>
  <si>
    <t>NO</t>
  </si>
  <si>
    <t>품명</t>
  </si>
  <si>
    <t>규격</t>
  </si>
  <si>
    <t>수량</t>
  </si>
  <si>
    <t>단가</t>
  </si>
  <si>
    <t>공급가액</t>
  </si>
  <si>
    <t>세액</t>
  </si>
  <si>
    <t>비고</t>
  </si>
  <si>
    <t>15ABV-FL-01 (Ø95 * 17L)</t>
  </si>
  <si>
    <t>Ø95 * 19L</t>
  </si>
  <si>
    <t>20ABV-FL-01 (Ø100 * 19L)</t>
  </si>
  <si>
    <t>Ø100 * 21L</t>
  </si>
  <si>
    <t>25ABV-FL-01 (Ø125 * 20L)</t>
  </si>
  <si>
    <t>Ø125 * 22L</t>
  </si>
  <si>
    <t>40ABV-FL-01 (Ø140 * 17.5L)</t>
  </si>
  <si>
    <t>Ø140 * 19.5L</t>
  </si>
  <si>
    <t>50ABV-FL-01 (Ø155 * 21.6L)</t>
  </si>
  <si>
    <t>Ø155 * 23L</t>
  </si>
  <si>
    <t>T16ABV-FL-01 (Ø100 * 19L)</t>
  </si>
  <si>
    <t>32ABV-FL-01 (Ø135 * 17.5L)</t>
  </si>
  <si>
    <t>Ø135 * 19L</t>
  </si>
  <si>
    <t>25X4JTF-X49-ASS-01 (Ø125 * 15.5L)</t>
  </si>
  <si>
    <t>Ø125 * 17.5L</t>
  </si>
  <si>
    <t>T24ABV-FL-01 (Ø127 * 27.4L)</t>
  </si>
  <si>
    <t>Ø125 * 29L</t>
  </si>
  <si>
    <t>50ABV-FL-01-X156 (Ø152 * 26.6L)</t>
  </si>
  <si>
    <t>Ø155 * 28L</t>
  </si>
  <si>
    <t>합      계</t>
  </si>
  <si>
    <t>1. 납      기 :</t>
  </si>
  <si>
    <t>2. 지불조건 :</t>
  </si>
  <si>
    <t>3. 배 송 지 :</t>
  </si>
  <si>
    <t>4. 담 당 자 :</t>
  </si>
  <si>
    <t>김민수 과장</t>
  </si>
  <si>
    <t xml:space="preserve">NO. </t>
  </si>
  <si>
    <t>15BLD-APP (Ø95 * 12L)</t>
  </si>
  <si>
    <t>Ø100 * 14L</t>
  </si>
  <si>
    <t>25BLD-APP (Ø125 * 14L)</t>
  </si>
  <si>
    <t>Ø130 * 16L</t>
  </si>
  <si>
    <t>40BLD-APP (Ø140 * 16L)</t>
  </si>
  <si>
    <t>Ø140 * 18L</t>
  </si>
  <si>
    <t>50BLD-APP (Ø155 * 16L)</t>
  </si>
  <si>
    <t>Ø155 * 18L</t>
  </si>
  <si>
    <t>304 소재 35개</t>
  </si>
  <si>
    <t>65BLD-APP (Ø175 * 18L)</t>
  </si>
  <si>
    <t>Ø175 * 20L</t>
  </si>
  <si>
    <t>T48BLD-APP (Ø175 * 18L)</t>
  </si>
  <si>
    <t>T24BLD-APP (Ø135 * 16L)</t>
  </si>
  <si>
    <t>Ø135 * 18L</t>
  </si>
  <si>
    <t>T32BLD-M (Ø140 * 16L)</t>
  </si>
  <si>
    <t>32BLD-APP (Ø135 * 16L)</t>
  </si>
  <si>
    <t>20BLD-APP (Ø100 * 14L)</t>
  </si>
  <si>
    <t>Ø100 * 16L</t>
  </si>
  <si>
    <t>T12BLD-M (Ø95 * 12L)</t>
  </si>
  <si>
    <t>Ø95 * 14L</t>
  </si>
  <si>
    <t>T16BLD-M (Ø100 * 14L)</t>
  </si>
  <si>
    <t>T20BLD-APP (Ø125 * 14L)</t>
  </si>
  <si>
    <t>T24BLD-X156 (Ø125 * 19.1L)</t>
  </si>
  <si>
    <t>Ø125 * 21L</t>
  </si>
  <si>
    <t>304 소재 20개</t>
  </si>
  <si>
    <t>100BLD-APP (Ø210 * 18L)</t>
  </si>
  <si>
    <t>Ø210 * 20L</t>
  </si>
  <si>
    <t>80BLD-APP (Ø185 * 16L)</t>
  </si>
  <si>
    <t>Ø190 * 18L</t>
  </si>
  <si>
    <t>T32BLD-X156 (Ø150 * 19.1L)</t>
  </si>
  <si>
    <t>Ø150 * 21L</t>
  </si>
  <si>
    <t>15RFF-APP (Ø95 * 12L)</t>
  </si>
  <si>
    <t>25RFF-M (Ø125 * 14L)</t>
  </si>
  <si>
    <t>Ø125 * 16L</t>
  </si>
  <si>
    <t>40RFF-APP (Ø140 * 16L)</t>
  </si>
  <si>
    <t>50RFF-APP (Ø155 * 16L)</t>
  </si>
  <si>
    <t>65RFF-APP (Ø175 * 18L)</t>
  </si>
  <si>
    <t>Ø180 * 20.5L</t>
  </si>
  <si>
    <t>32RFF-M (Ø135 * 16L)</t>
  </si>
  <si>
    <t>20RFF-APP (Ø100 * 14L)</t>
  </si>
  <si>
    <t>100RFF-APP (Ø210 * 18L)</t>
  </si>
  <si>
    <t>80RFF-M (Ø185 * 18L)</t>
  </si>
  <si>
    <t>Ø190 * 20.5L</t>
  </si>
  <si>
    <t>15RFF-X363-APP (Ø95 * 14L)</t>
  </si>
  <si>
    <t>Ø95 * 16L</t>
  </si>
  <si>
    <t>20XT12PIF-01 (Ø100 * 15.5L)</t>
  </si>
  <si>
    <t>Ø100 * 18L</t>
  </si>
  <si>
    <t>T32PIF-01 (Ø140 * 17.5L)</t>
  </si>
  <si>
    <t>Ø140 * 20L</t>
  </si>
  <si>
    <t>40PIF-01 (Ø140 * 17.5L)</t>
  </si>
  <si>
    <t>Ø140 * 19L</t>
  </si>
  <si>
    <t>50PIF-01 (Ø155 * 17.5L)</t>
  </si>
  <si>
    <t>Ø155 * 19L</t>
  </si>
  <si>
    <t>T24PIF-01 (Ø135 * 17.5L)</t>
  </si>
  <si>
    <t>40XT24PIF-01 (Ø140 * 17.5L)</t>
  </si>
  <si>
    <t>25X20PIF-01 (Ø125 * 15.5L)</t>
  </si>
  <si>
    <t>T48PIF-01 (Ø175 * 21L)</t>
  </si>
  <si>
    <t>65PIF-01-M (Ø175 * 21L)</t>
  </si>
  <si>
    <t>Ø180 * 23L</t>
  </si>
  <si>
    <t>25XT16PIF-01 (Ø125 * 15.5L)</t>
  </si>
  <si>
    <t>Ø125 * 18L</t>
  </si>
  <si>
    <t>15PIF-01 (Ø95 * 13.5L)</t>
  </si>
  <si>
    <t>Ø95 * 15.5L</t>
  </si>
  <si>
    <t>8DV2-15PIF-01(Ø95 * 15L)</t>
  </si>
  <si>
    <t>Ø95 * 17L</t>
  </si>
  <si>
    <t>15XT8PIF-01(Ø95 * 13.5L)</t>
  </si>
  <si>
    <t>T32PIF-19L-01-X171(Ø152.4 * 19.1L)</t>
  </si>
  <si>
    <t>Ø160 * 21L</t>
  </si>
  <si>
    <t>100PIF-01 (Ø210 * 21)</t>
  </si>
  <si>
    <t>Ø210 * 23L</t>
  </si>
  <si>
    <t>25LJF-M (Ø125 * 14L)</t>
  </si>
  <si>
    <t>32LJF-M (Ø135 * 16L)</t>
  </si>
  <si>
    <t>40LJF-M (Ø140 * 16L)</t>
  </si>
  <si>
    <t>50LJF-M (Ø155 * 16L)</t>
  </si>
  <si>
    <t>65LJF-M (Ø175 * 18L)</t>
  </si>
  <si>
    <t>Ø175 * 20.5L</t>
  </si>
  <si>
    <t>15LJF-M (Ø95 * 12L)</t>
  </si>
  <si>
    <t>Ø100* 14L</t>
  </si>
  <si>
    <t>20LJF-M (Ø100 * 14L)</t>
  </si>
  <si>
    <t>Ø100* 16L</t>
  </si>
  <si>
    <t>T12LJF-M (Ø95 * 12L)</t>
  </si>
  <si>
    <t>Ø95* 14L</t>
  </si>
  <si>
    <t>316 재고 66 EA</t>
  </si>
  <si>
    <t>T16LJF-M (Ø100 * 14L)</t>
  </si>
  <si>
    <t>T24LJF-M (Ø135 * 16L)</t>
  </si>
  <si>
    <t>T32LJF-M (Ø140 * 16L)</t>
  </si>
  <si>
    <t>304 재고 10</t>
  </si>
  <si>
    <t>T20LJF (Ø125 * 14L)</t>
  </si>
  <si>
    <t>T16LJF-X156 (Ø110 * 12.7L)</t>
  </si>
  <si>
    <t>Ø110 * 15L</t>
  </si>
  <si>
    <t>T24LJF-X156 (Ø125 * 15.9L)</t>
  </si>
  <si>
    <t>80LJF-M (Ø185 * 18L)</t>
  </si>
  <si>
    <t>Ø185* 20L</t>
  </si>
  <si>
    <t>100LJF-APP (Ø210 * 18L)</t>
  </si>
  <si>
    <t>Ø210* 20L</t>
  </si>
  <si>
    <t>T32LJF-X156 (Ø150 * 17.5L)</t>
  </si>
  <si>
    <t>Ø150 * 20L</t>
  </si>
  <si>
    <t>부산시 기장군 산단4로 71</t>
  </si>
  <si>
    <t>150ABV-FL-17 (HEX50 * 35L)</t>
  </si>
  <si>
    <t>304 HEX50 * 37L</t>
  </si>
  <si>
    <t>8HFDV-VM-05 (Ø42 * 14L)</t>
  </si>
  <si>
    <t>304 Ø45 * 16L</t>
  </si>
  <si>
    <t>8HFDV-VM-09 (Ø44 * 19.3L)</t>
  </si>
  <si>
    <t>304 Ø45 * 21L</t>
  </si>
  <si>
    <t>40ABV-TW-23 (HEX38 * 22L)</t>
  </si>
  <si>
    <t>304 HEX38 * 24L</t>
  </si>
  <si>
    <t>11NDODV-06 (HEX22 * 17L)</t>
  </si>
  <si>
    <t>304 HEX22 * 19L</t>
  </si>
  <si>
    <t>산처리</t>
  </si>
  <si>
    <t>11NDODV-08 (Ø25 * 14.5L)</t>
  </si>
  <si>
    <t>304 Ø26 * 16L</t>
  </si>
  <si>
    <t>8SODV-10 (Ø7.8 * 3.2L)</t>
  </si>
  <si>
    <t>630 Ø12.1 * 550L</t>
  </si>
  <si>
    <t>8SODV-09 (Ø3.9 * 16L)</t>
  </si>
  <si>
    <t>630 Ø12.1 * 18L</t>
  </si>
  <si>
    <t>100ABV-FL-17 (HEX46 * 30L)</t>
  </si>
  <si>
    <t>304 HEX46 * 32L</t>
  </si>
  <si>
    <t>80ABV-FL-16 (HEX41 * 29L)</t>
  </si>
  <si>
    <t>304 HEX41 * 31L</t>
  </si>
  <si>
    <t>4RG1-VF-2B2-10 (Ø29.2 * 10L)</t>
  </si>
  <si>
    <t>304 Ø32*12L</t>
  </si>
  <si>
    <t>12HFDVN-VM-02 (Ø18 * 41.6L)</t>
  </si>
  <si>
    <t>304 Ø20 * 43L</t>
  </si>
  <si>
    <t>12HFDVN-VM-03 (Ø44 * 26.4L)</t>
  </si>
  <si>
    <t>304 Ø45 * 28L</t>
  </si>
  <si>
    <t>15ABL-3PC-05(H15.88 * 7.5L)</t>
  </si>
  <si>
    <t>316 H15.88 * 10L</t>
  </si>
  <si>
    <t>25X4JTF (Ø125 * 15.5L)</t>
  </si>
  <si>
    <t>316 Ø125 * 17.5L</t>
  </si>
  <si>
    <t>12BV-VM-05 (HEX38 * 24L)</t>
  </si>
  <si>
    <t>304 HEX38 * 26L</t>
  </si>
  <si>
    <t>4PDVN-02 (Ø20*11.5L)</t>
  </si>
  <si>
    <t>304 Ø22*14L</t>
  </si>
  <si>
    <t>MRG6-07 (Ø23.9*3.3L)</t>
  </si>
  <si>
    <t>630 Ø25*400L</t>
  </si>
  <si>
    <t>58EA</t>
  </si>
  <si>
    <t>4HDV-VM-04 (HEX27*18L)</t>
  </si>
  <si>
    <t>304 HEX27 * 20L</t>
  </si>
  <si>
    <t>200ABV-FL-16 (HEX55 * 35L)</t>
  </si>
  <si>
    <t>304 HEX55 * 37L</t>
  </si>
  <si>
    <t>80AHYBV-TU-05(Ø99.9*12L)</t>
  </si>
  <si>
    <t>SUS316 Ø105*14L</t>
  </si>
  <si>
    <t>80AHYBV-TU-06-BR(Ø41.9*9.6L)</t>
  </si>
  <si>
    <t>SUS304 Ø45*11.5L</t>
  </si>
  <si>
    <t>4SP-VM-L-03 (HEX30 * 14.5L)</t>
  </si>
  <si>
    <t>SUS304 HEX30 * 17L</t>
  </si>
  <si>
    <t>4SP-VM-04 (HEX30 * 15L)</t>
  </si>
  <si>
    <t>MRG4-20 (Ø23.7*16.7L)</t>
  </si>
  <si>
    <t>T16HCHV-08 (□57.2 * 16.7L)</t>
  </si>
  <si>
    <t xml:space="preserve">SUS316 Ø85 *19L </t>
  </si>
  <si>
    <t>200AHYBV2-09 (HEX70 * 31.2L)</t>
  </si>
  <si>
    <t>SUS316 HEX70*33L</t>
  </si>
  <si>
    <t>8HFDV-VM-13 (Ø50 * 20L)</t>
  </si>
  <si>
    <t>AL6061 Ø51 * 22L</t>
  </si>
  <si>
    <t>8RHP-VM-C-02 (Ø52 * 12.1L)</t>
  </si>
  <si>
    <t>AL6061 Ø55 * 15L</t>
  </si>
  <si>
    <t>8RHP-VM-C-03 (Ø48.7 * 10.6L)</t>
  </si>
  <si>
    <t>AL6061 Ø50 * 12L</t>
  </si>
  <si>
    <t>8PDVN-02 (Ø26*12.8L)</t>
  </si>
  <si>
    <t>304 Ø28*15L</t>
  </si>
  <si>
    <t>11NSODVK-07-L (Ø25 * 30.4L)</t>
  </si>
  <si>
    <t>AL6061 Ø26 * 400L</t>
  </si>
  <si>
    <t>11EA</t>
  </si>
  <si>
    <t>150ABV-FL-21 (R56.5*8.7L)</t>
  </si>
  <si>
    <t>SUS316 Ø115*11L</t>
  </si>
  <si>
    <t>80AHYBV-05-BR(Ø38*39.6L)</t>
  </si>
  <si>
    <t>SUS304 Ø40*42L</t>
  </si>
  <si>
    <t>8PSF-C-03(Ø37.5*25L)</t>
  </si>
  <si>
    <t>SUS304 Ø40*27L</t>
  </si>
  <si>
    <t>4HDVN-10</t>
  </si>
  <si>
    <t>630 Ø16*400L</t>
  </si>
  <si>
    <t>T16HYPBVF-03 (□57.2*60.5)</t>
  </si>
  <si>
    <t>316 ø80*62</t>
  </si>
  <si>
    <t>T16HYPBVF-06 (ø124*12.7)</t>
  </si>
  <si>
    <t>304 ø130*16</t>
  </si>
  <si>
    <t>T16HYPBVF-07 (ø159.5*58.8)</t>
  </si>
  <si>
    <t>AL6061 ø161*61</t>
  </si>
  <si>
    <t>T16HYPBVF-08 (ø159.5*50.2)</t>
  </si>
  <si>
    <t>AL6061 ø161*53</t>
  </si>
  <si>
    <t>4PDVN-03 (Ø40*23.5L)</t>
  </si>
  <si>
    <t>304 Ø40*25L</t>
  </si>
  <si>
    <t>T16HYBVF-03 (□57.1*41.4)</t>
  </si>
  <si>
    <t>316 ø80*43.5</t>
  </si>
  <si>
    <t>T48HYPBV-07 (Ø129*71.4L)</t>
  </si>
  <si>
    <t>SUS304 Ø130*73.5L</t>
  </si>
  <si>
    <t>T48HYPBV-TU-05(Ø99.9*12L)</t>
  </si>
  <si>
    <t>T48HYPBV-16 (ø17.7*40)</t>
  </si>
  <si>
    <t>AL6061 ø19*42</t>
  </si>
  <si>
    <t>T48HYPBV-13 (ø17.9*23.3)</t>
  </si>
  <si>
    <t>AL6061 ø19*25</t>
  </si>
  <si>
    <t>T48HYPBV-14-T (ø17.9*38.2)</t>
  </si>
  <si>
    <t>AL6061 ø19*40</t>
  </si>
  <si>
    <t>T48HYPBV-13-T5 (ø17.9*23.3)</t>
  </si>
  <si>
    <t>S304 ø20*25</t>
  </si>
  <si>
    <t>T16HYPBV-05 (ø130*63.5)</t>
  </si>
  <si>
    <t>AL6061 ø131*65</t>
  </si>
  <si>
    <t>T16HYPBV-06 (H46*10)</t>
  </si>
  <si>
    <t>304 H46*12</t>
  </si>
  <si>
    <t>T16HYPBV-07 (ø130*68)</t>
  </si>
  <si>
    <t>AL6061 ø131*70</t>
  </si>
  <si>
    <t>T16HYPBV-09 (ø95.7*12.7)</t>
  </si>
  <si>
    <t>304 ø100*15</t>
  </si>
  <si>
    <t>T16HYPBV-10 (ø12.5*80)</t>
  </si>
  <si>
    <t>AL6061 ø14*82</t>
  </si>
  <si>
    <t>1328-886-01-02 (□23*11.8)</t>
  </si>
  <si>
    <t>AL6061 ø10*11</t>
  </si>
  <si>
    <t>T32HYPBV-08 (ø150*99)</t>
  </si>
  <si>
    <t>AL6061 ø151*101</t>
  </si>
  <si>
    <t>T32HYPBV-06 (□60.3*64.9)</t>
  </si>
  <si>
    <t>304 ø85*67</t>
  </si>
  <si>
    <t>T32HYPBV-16 (ø150*118)</t>
  </si>
  <si>
    <t>AL6061 ø151*120</t>
  </si>
  <si>
    <t>T32HYPBV-11 (H27*7)</t>
  </si>
  <si>
    <t>304 H27*9</t>
  </si>
  <si>
    <t>T32HYPBV-09 (H50*9.5)</t>
  </si>
  <si>
    <t>304 H50*11.5</t>
  </si>
  <si>
    <t>T32HYPBV-10 (ø108.3*9)</t>
  </si>
  <si>
    <t>304 ø110*12</t>
  </si>
  <si>
    <t>T32HYPBV-12 (ø114.7*8)</t>
  </si>
  <si>
    <t>304 ø120*11</t>
  </si>
  <si>
    <t>T32HYPBV-13 (ø114.7*8.8)</t>
  </si>
  <si>
    <t>304 ø120*12</t>
  </si>
  <si>
    <t>150ABV-FL-05 (Ø100*15L)</t>
  </si>
  <si>
    <t>SUS316 Ø105*17L</t>
  </si>
  <si>
    <t>200ABV-FL-06 (Ø100*15L)</t>
  </si>
  <si>
    <t>65ABV-TW-07(Ø110*11.5L)</t>
  </si>
  <si>
    <t>SUS316 Ø110*13.5L</t>
  </si>
  <si>
    <t>100ABV-FL-06 (Ø146*17L)</t>
  </si>
  <si>
    <t>SUS316 Ø150*19L</t>
  </si>
  <si>
    <t>80ABV-FL-05 (Ø112.6*13L)</t>
  </si>
  <si>
    <t>SUS316 Ø115*15L</t>
  </si>
  <si>
    <t>NO. 21-1013</t>
  </si>
  <si>
    <t>HL26-10390/PUSING PLATE</t>
  </si>
  <si>
    <t>SCM415 55*16.5</t>
  </si>
  <si>
    <t>HA50-80110/허브 로크 너트</t>
  </si>
  <si>
    <t>S45C 130*22</t>
  </si>
  <si>
    <t>HA50-20190/로크 너트</t>
  </si>
  <si>
    <t>S45C 65*19</t>
  </si>
  <si>
    <t>HB201-269</t>
  </si>
  <si>
    <t>HA50-80240/플렌지 샤프트 부싱</t>
  </si>
  <si>
    <t>SCM420 55*10</t>
  </si>
  <si>
    <t>HA50-20260/스페이서</t>
  </si>
  <si>
    <t>S45C 64*17</t>
  </si>
  <si>
    <t>HA50-P0150/주차 스페이서</t>
  </si>
  <si>
    <t>S20C 12*1000</t>
  </si>
  <si>
    <t>110 EA</t>
  </si>
  <si>
    <t>HL15-10070/SPRING PLATE</t>
  </si>
  <si>
    <t>S45C 60*10</t>
  </si>
  <si>
    <t>HA50-80210/PL THRUST WASHER</t>
  </si>
  <si>
    <t>SCM415 35*1000</t>
  </si>
  <si>
    <t>114 EA</t>
  </si>
  <si>
    <t>HF50-50190/스페이서</t>
  </si>
  <si>
    <t>S45C 45*17</t>
  </si>
  <si>
    <t>HF50-20010/PTO 스페이서</t>
  </si>
  <si>
    <t>S45C 40*13</t>
  </si>
  <si>
    <t>HA30-60250/SLEEVE BRAKE</t>
  </si>
  <si>
    <t>SCM440H 22*28</t>
  </si>
  <si>
    <t>HA30-20190/로크 너트</t>
  </si>
  <si>
    <t>S45C 50*14.5</t>
  </si>
  <si>
    <t>HA80-80180/BUSHING-PLANETARY PIN</t>
  </si>
  <si>
    <t>SCM420 22*14</t>
  </si>
  <si>
    <t xml:space="preserve"> </t>
  </si>
  <si>
    <t>HA50-20191/로크 너트</t>
  </si>
  <si>
    <t>S45C 65*17</t>
  </si>
  <si>
    <t>HF50-20250/INTERMEDIATE SHAFT</t>
  </si>
  <si>
    <t>S45C 30*44</t>
  </si>
  <si>
    <t>HA80-80091/유성 핀</t>
  </si>
  <si>
    <t>SCM420H 28*97</t>
  </si>
  <si>
    <t>HA30-80371/NUT-HUB LOCK</t>
  </si>
  <si>
    <t>S45C 70*16</t>
  </si>
  <si>
    <t>HA20-80210/WASHER-THRUST LOWER</t>
  </si>
  <si>
    <t>SCM415 40*8</t>
  </si>
  <si>
    <t>HA20-80200/WASHER-THRUST UPPER</t>
  </si>
  <si>
    <t>SCM415 40*5</t>
  </si>
  <si>
    <t>HA20-80082/NUT-HUB LOCK</t>
  </si>
  <si>
    <t>S45C 65*16</t>
  </si>
  <si>
    <t>HA30-80730/NUT-HUB LOCK</t>
  </si>
  <si>
    <t>SCM440 ø85*14</t>
  </si>
  <si>
    <t>HB270-320</t>
  </si>
  <si>
    <t>HA20-20100/SPACER</t>
  </si>
  <si>
    <t>S45C ø50*14</t>
  </si>
  <si>
    <t>NO. 20-1204</t>
  </si>
  <si>
    <t>21DA-40020/SLEEVE</t>
  </si>
  <si>
    <t>SCM440H 22*26</t>
  </si>
  <si>
    <t>21DA-20320/COLLAR</t>
  </si>
  <si>
    <t>S45C 35*31.5</t>
  </si>
  <si>
    <t>21MA-20320/COLLAR</t>
  </si>
  <si>
    <t>S45C 35*61.5</t>
  </si>
  <si>
    <t>31AC-00060/COLLAR</t>
  </si>
  <si>
    <t>S45C 60*17.5</t>
  </si>
  <si>
    <t>HRC24-32</t>
  </si>
  <si>
    <t>KA20-H0030/STOPPER</t>
  </si>
  <si>
    <t>S45C 14*14</t>
  </si>
  <si>
    <t>HB217-248</t>
  </si>
  <si>
    <t>21DB-20010/SPACER</t>
  </si>
  <si>
    <t>S45C 65*20</t>
  </si>
  <si>
    <t>HB240-310</t>
  </si>
  <si>
    <t>41AA-20192/PISTON</t>
  </si>
  <si>
    <t>S45C 55*49</t>
  </si>
  <si>
    <t>41AA-20120/FRICTION BLOCK</t>
  </si>
  <si>
    <t>S45C 28*10</t>
  </si>
  <si>
    <t>DU31-H0040/SPACER</t>
  </si>
  <si>
    <t>S45C 90*19</t>
  </si>
  <si>
    <t>123485/SLEEVE</t>
  </si>
  <si>
    <t>S45C 60*80</t>
  </si>
  <si>
    <t>KH30-C0220/SPACER</t>
  </si>
  <si>
    <t>S45C 75*18</t>
  </si>
  <si>
    <t>HB240-280</t>
  </si>
  <si>
    <t>KH30-H0091/SPACER</t>
  </si>
  <si>
    <t>S45C 95*17</t>
  </si>
  <si>
    <t>HB240-270</t>
  </si>
  <si>
    <t>KH30-H0170/SPACER</t>
  </si>
  <si>
    <t>S45C 110*10</t>
  </si>
  <si>
    <t>2800888 / DRUM NUT</t>
  </si>
  <si>
    <t>S45C HEX27*18</t>
  </si>
  <si>
    <t>HRC25-30</t>
  </si>
  <si>
    <t>21AF-10131/THRUST WASHER</t>
  </si>
  <si>
    <t>SCM440 36*8</t>
  </si>
  <si>
    <t>HB240-260</t>
  </si>
  <si>
    <t>21AF-10060/PIN1</t>
  </si>
  <si>
    <t>S45C 36*75</t>
  </si>
  <si>
    <t>21AF-00260/NUT</t>
  </si>
  <si>
    <t>S45C 46*17</t>
  </si>
  <si>
    <t>248166 / BUSHING-SENSOR</t>
  </si>
  <si>
    <t>S45C HEX32*25</t>
  </si>
  <si>
    <t>21AF-10070/PIN2</t>
  </si>
  <si>
    <t>S45C 36*60</t>
  </si>
  <si>
    <t>21AF-10050/WASHER</t>
  </si>
  <si>
    <t>S45C 36*1000</t>
  </si>
  <si>
    <t>NO. 21-0711</t>
  </si>
  <si>
    <t>31AC-00400/COLLAR</t>
  </si>
  <si>
    <t>S45C Ø50*13.5</t>
  </si>
  <si>
    <t>31AB-00080/COLLAR</t>
  </si>
  <si>
    <t>S45C Ø50*17.5</t>
  </si>
  <si>
    <t>11DA-10341 / PLATE BACK</t>
  </si>
  <si>
    <t>S45C Ø80*6</t>
  </si>
  <si>
    <t>8136579/SPACER(Ø84*5)</t>
  </si>
  <si>
    <t>X</t>
  </si>
  <si>
    <t>8125170/SPACER(Ø73*16.7)</t>
  </si>
  <si>
    <t>21DA-10532</t>
  </si>
  <si>
    <t>8125189/BUSH FOR PISTN(Ø21*22.7)</t>
  </si>
  <si>
    <t>SCM440 Ø22*24</t>
  </si>
  <si>
    <t>8125142/SPACER(Ø58*10.4)</t>
  </si>
  <si>
    <t>S45C Ø60*12</t>
  </si>
  <si>
    <t>HB167-229</t>
  </si>
  <si>
    <t>8133393/PLUG(HEX46*22)</t>
  </si>
  <si>
    <t>S20C HEX46*24</t>
  </si>
  <si>
    <t>2787370/SHAFT(Ø19.9*45)</t>
  </si>
  <si>
    <t>SCM420H Ø22*47</t>
  </si>
  <si>
    <t>8123952/SPACER(Ø40 * 13.5L)</t>
  </si>
  <si>
    <t>S45C Ø42*1000</t>
  </si>
  <si>
    <t>8123356/SPACER(Ø40 * 5L)</t>
  </si>
  <si>
    <t>2809188/PLUG(HEX25.4*57)</t>
  </si>
  <si>
    <t>S20C HEX25.4*59</t>
  </si>
  <si>
    <t>102979 / NUT-BEARING ADJUST</t>
  </si>
  <si>
    <t xml:space="preserve">S45C Ø85*9 </t>
  </si>
  <si>
    <t>HRC26-34</t>
  </si>
  <si>
    <t>31AB-00111/NUT(HEX46*18)</t>
  </si>
  <si>
    <t>S20C HEX46*19</t>
  </si>
  <si>
    <t>260 EA</t>
  </si>
  <si>
    <t>31AC-00110/NUT</t>
  </si>
  <si>
    <t>S20C HEX55*22</t>
  </si>
  <si>
    <t>230 EA</t>
  </si>
  <si>
    <t>129804 / SPACER</t>
  </si>
  <si>
    <t>SCM420 Ø95*9</t>
  </si>
  <si>
    <t>DT40-00160/SPACER-SHAFT</t>
  </si>
  <si>
    <t>S45C Ø75*9</t>
  </si>
  <si>
    <t>DT40-T0040/SHAFT-PTO IDLE</t>
  </si>
  <si>
    <t>SCM420 Ø32*39</t>
  </si>
  <si>
    <t>HB170-210</t>
  </si>
  <si>
    <t>DA40-C0100/SPACER</t>
  </si>
  <si>
    <t>S45C Ø70*14</t>
  </si>
  <si>
    <t>31AC-00040/KING PIN</t>
  </si>
  <si>
    <t>SCM420 Ø36*199</t>
  </si>
  <si>
    <t>NO. 21-1201</t>
  </si>
  <si>
    <t>64C31-02400/WASHER</t>
  </si>
  <si>
    <t>S45C 30*5.5</t>
  </si>
  <si>
    <t>HRC36-41</t>
  </si>
  <si>
    <t>91B33-20800/NUT, WHEEL BRG.</t>
  </si>
  <si>
    <t>S45C 90*11.5</t>
  </si>
  <si>
    <t>HB229-277</t>
  </si>
  <si>
    <t>D180258/PLUG</t>
  </si>
  <si>
    <t>S20C 38H*26</t>
  </si>
  <si>
    <t>A213224/RING</t>
  </si>
  <si>
    <t>S45C 60*10.5</t>
  </si>
  <si>
    <t>DI0622A4-5M/BUSHING</t>
  </si>
  <si>
    <t>SCM415 32*18</t>
  </si>
  <si>
    <t>D3-045/BUSHING</t>
  </si>
  <si>
    <t>SCM415 42*17.5</t>
  </si>
  <si>
    <t>A213097/WASHER</t>
  </si>
  <si>
    <t>SCM415 70*5</t>
  </si>
  <si>
    <t>1B0090-1/LOCK NUT</t>
  </si>
  <si>
    <t>S45C 55*14</t>
  </si>
  <si>
    <t>234299 / BEARING PLATE</t>
  </si>
  <si>
    <t>SCM440 65*8</t>
  </si>
  <si>
    <t>HRC38-40</t>
  </si>
  <si>
    <t>A383313/RING</t>
  </si>
  <si>
    <t>HRC40-55</t>
  </si>
  <si>
    <t>PJ2A-20119/HOLDER_COVER</t>
  </si>
  <si>
    <t>SCM440 65*25</t>
  </si>
  <si>
    <t>단종</t>
  </si>
  <si>
    <t>A213247/NUT</t>
  </si>
  <si>
    <t>SCM440H 50*19</t>
  </si>
  <si>
    <t>A383312/NUT</t>
  </si>
  <si>
    <t>S45C 60*20</t>
  </si>
  <si>
    <t>NO. 21-1007</t>
  </si>
  <si>
    <t>발
주
자</t>
  </si>
  <si>
    <t>EP0250/PLUNGER-SYN,RANGE</t>
  </si>
  <si>
    <t>S20C</t>
  </si>
  <si>
    <t>Ø10*18L</t>
  </si>
  <si>
    <t>EP0420/LOCK NUT</t>
  </si>
  <si>
    <t>S45C</t>
  </si>
  <si>
    <t>Ø95*31L</t>
  </si>
  <si>
    <t>EP2020/LOCK NUT_CARRIER</t>
  </si>
  <si>
    <t>SCM440 Ø130*24L</t>
  </si>
  <si>
    <t>AD61600315 / 로크 너트</t>
  </si>
  <si>
    <t>S45C 38*18</t>
  </si>
  <si>
    <t>HB 201-269</t>
  </si>
  <si>
    <t>AD61600326 / 슬리브 부시</t>
  </si>
  <si>
    <t>S45C Ø28*25</t>
  </si>
  <si>
    <t>AD61600338 / 스페이서</t>
  </si>
  <si>
    <t>Ø90*18L</t>
  </si>
  <si>
    <t>AD61600312 / 스페이서</t>
  </si>
  <si>
    <t>Ø40*7L</t>
  </si>
  <si>
    <t>304 54개 재고</t>
    <phoneticPr fontId="8" type="noConversion"/>
  </si>
  <si>
    <t>T16HYPBVF-10 (ø8*8.6)</t>
    <phoneticPr fontId="8" type="noConversion"/>
  </si>
  <si>
    <t>150AHYBV-VC-JI-01(ø160*28)</t>
    <phoneticPr fontId="8" type="noConversion"/>
  </si>
  <si>
    <t>SUS316 Ø32*14L</t>
    <phoneticPr fontId="8" type="noConversion"/>
  </si>
  <si>
    <t>SUS316 Ø165*30L</t>
    <phoneticPr fontId="8" type="noConversion"/>
  </si>
  <si>
    <t>150AHYBV-VC-JI-02(ø172*40)</t>
    <phoneticPr fontId="8" type="noConversion"/>
  </si>
  <si>
    <t>SUS304 Ø175*42L</t>
    <phoneticPr fontId="8" type="noConversion"/>
  </si>
  <si>
    <t>Ø125 * 16L</t>
    <phoneticPr fontId="8" type="noConversion"/>
  </si>
  <si>
    <t>NO. 26-0408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</si>
</sst>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9">
    <font>
      <sz val="11"/>
      <color theme="1"/>
      <name val="Calibri"/>
      <scheme val="minor"/>
    </font>
    <font>
      <b/>
      <sz val="24"/>
      <color rgb="FF464646"/>
      <name val="Malgun Gothic"/>
      <family val="3"/>
      <charset val="129"/>
    </font>
    <font>
      <sz val="10"/>
      <color theme="1"/>
      <name val="Malgun Gothic"/>
      <family val="3"/>
      <charset val="129"/>
    </font>
    <font>
      <sz val="11"/>
      <name val="Calibri"/>
      <family val="2"/>
    </font>
    <font>
      <b/>
      <sz val="12"/>
      <color theme="1"/>
      <name val="Malgun Gothic"/>
      <family val="3"/>
      <charset val="129"/>
    </font>
    <font>
      <sz val="10"/>
      <color theme="1"/>
      <name val="Calibri"/>
      <family val="2"/>
    </font>
    <font>
      <sz val="11"/>
      <color theme="1"/>
      <name val="Calibri"/>
      <family val="2"/>
    </font>
    <font>
      <strike/>
      <sz val="10"/>
      <color theme="1"/>
      <name val="Malgun Gothic"/>
      <family val="3"/>
      <charset val="129"/>
    </font>
    <font>
      <sz val="8"/>
      <name val="Calibri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EDEDE"/>
        <bgColor rgb="FFDEDEDE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31" fontId="2" fillId="0" borderId="0" xfId="0" applyNumberFormat="1" applyFont="1" applyAlignment="1">
      <alignment horizontal="center" vertical="center"/>
    </xf>
    <xf numFmtId="0" fontId="2" fillId="0" borderId="12" xfId="0" applyFont="1" applyBorder="1" applyAlignment="1">
      <alignment vertical="center" wrapText="1"/>
    </xf>
    <xf numFmtId="0" fontId="3" fillId="0" borderId="1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3" fontId="2" fillId="0" borderId="3" xfId="0" applyNumberFormat="1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3" fontId="4" fillId="0" borderId="0" xfId="0" applyNumberFormat="1" applyFont="1" applyAlignment="1">
      <alignment horizontal="right" vertical="center"/>
    </xf>
    <xf numFmtId="0" fontId="2" fillId="0" borderId="3" xfId="0" applyFont="1" applyBorder="1" applyAlignment="1">
      <alignment vertical="center"/>
    </xf>
    <xf numFmtId="176" fontId="2" fillId="0" borderId="3" xfId="0" applyNumberFormat="1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14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righ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2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vertical="center" wrapText="1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9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center" vertical="center"/>
    </xf>
    <xf numFmtId="176" fontId="7" fillId="0" borderId="3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customschemas.google.com/relationships/workbookmetadata" Target="metadata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28575</xdr:colOff>
      <xdr:row>28</xdr:row>
      <xdr:rowOff>66675</xdr:rowOff>
    </xdr:from>
    <xdr:ext cx="7810500" cy="31432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0"/>
  <sheetViews>
    <sheetView showGridLines="0" workbookViewId="0">
      <selection activeCell="C18" sqref="C18:T18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1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 t="s">
        <v>3</v>
      </c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41" t="s">
        <v>35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42">
        <v>316</v>
      </c>
      <c r="O15" s="20"/>
      <c r="P15" s="43" t="s">
        <v>36</v>
      </c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41" t="s">
        <v>37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42">
        <v>316</v>
      </c>
      <c r="O16" s="20"/>
      <c r="P16" s="43" t="s">
        <v>38</v>
      </c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41" t="s">
        <v>39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42">
        <v>316</v>
      </c>
      <c r="O17" s="20"/>
      <c r="P17" s="43" t="s">
        <v>40</v>
      </c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41" t="s">
        <v>41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42">
        <v>316</v>
      </c>
      <c r="O18" s="20"/>
      <c r="P18" s="43" t="s">
        <v>42</v>
      </c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41" t="s">
        <v>43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42">
        <v>316</v>
      </c>
      <c r="O19" s="20"/>
      <c r="P19" s="43" t="s">
        <v>44</v>
      </c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41" t="s">
        <v>45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42">
        <v>304</v>
      </c>
      <c r="O20" s="20"/>
      <c r="P20" s="43" t="s">
        <v>38</v>
      </c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41" t="s">
        <v>46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42">
        <v>316</v>
      </c>
      <c r="O21" s="20"/>
      <c r="P21" s="43" t="s">
        <v>47</v>
      </c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49"/>
      <c r="AL21" s="20"/>
      <c r="AM21" s="20"/>
      <c r="AN21" s="21"/>
    </row>
    <row r="22" spans="1:40" ht="19.5" customHeight="1">
      <c r="A22" s="19">
        <v>8</v>
      </c>
      <c r="B22" s="21"/>
      <c r="C22" s="41" t="s">
        <v>48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42">
        <v>316</v>
      </c>
      <c r="O22" s="20"/>
      <c r="P22" s="43" t="s">
        <v>49</v>
      </c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41" t="s">
        <v>50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42">
        <v>304</v>
      </c>
      <c r="O23" s="20"/>
      <c r="P23" s="43" t="s">
        <v>51</v>
      </c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41" t="s">
        <v>52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42">
        <v>316</v>
      </c>
      <c r="O24" s="20"/>
      <c r="P24" s="43" t="s">
        <v>53</v>
      </c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6"/>
      <c r="O25" s="7"/>
      <c r="P25" s="7"/>
      <c r="Q25" s="7"/>
      <c r="R25" s="7"/>
      <c r="S25" s="7"/>
      <c r="T25" s="8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/>
      <c r="O26" s="20"/>
      <c r="P26" s="4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6"/>
      <c r="O27" s="7"/>
      <c r="P27" s="7"/>
      <c r="Q27" s="7"/>
      <c r="R27" s="7"/>
      <c r="S27" s="7"/>
      <c r="T27" s="8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6"/>
      <c r="O28" s="7"/>
      <c r="P28" s="7"/>
      <c r="Q28" s="7"/>
      <c r="R28" s="7"/>
      <c r="S28" s="7"/>
      <c r="T28" s="8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6"/>
      <c r="O29" s="7"/>
      <c r="P29" s="7"/>
      <c r="Q29" s="7"/>
      <c r="R29" s="7"/>
      <c r="S29" s="7"/>
      <c r="T29" s="8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6"/>
      <c r="O30" s="7"/>
      <c r="P30" s="7"/>
      <c r="Q30" s="7"/>
      <c r="R30" s="7"/>
      <c r="S30" s="7"/>
      <c r="T30" s="8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6"/>
      <c r="O31" s="7"/>
      <c r="P31" s="7"/>
      <c r="Q31" s="7"/>
      <c r="R31" s="7"/>
      <c r="S31" s="7"/>
      <c r="T31" s="8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6"/>
      <c r="O32" s="7"/>
      <c r="P32" s="7"/>
      <c r="Q32" s="7"/>
      <c r="R32" s="7"/>
      <c r="S32" s="7"/>
      <c r="T32" s="8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6"/>
      <c r="O33" s="7"/>
      <c r="P33" s="7"/>
      <c r="Q33" s="7"/>
      <c r="R33" s="7"/>
      <c r="S33" s="7"/>
      <c r="T33" s="8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6"/>
      <c r="O34" s="7"/>
      <c r="P34" s="7"/>
      <c r="Q34" s="7"/>
      <c r="R34" s="7"/>
      <c r="S34" s="7"/>
      <c r="T34" s="8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2">
    <mergeCell ref="AG22:AJ22"/>
    <mergeCell ref="AK22:AN22"/>
    <mergeCell ref="A22:B22"/>
    <mergeCell ref="C22:M22"/>
    <mergeCell ref="N22:O22"/>
    <mergeCell ref="P22:T22"/>
    <mergeCell ref="U22:W22"/>
    <mergeCell ref="X22:AA22"/>
    <mergeCell ref="AB22:AF22"/>
    <mergeCell ref="AG21:AJ21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G19:AJ19"/>
    <mergeCell ref="AK19:AN19"/>
    <mergeCell ref="A19:B19"/>
    <mergeCell ref="C19:M19"/>
    <mergeCell ref="N19:O19"/>
    <mergeCell ref="P19:T19"/>
    <mergeCell ref="U19:W19"/>
    <mergeCell ref="X19:AA19"/>
    <mergeCell ref="AB19:AF19"/>
    <mergeCell ref="AG18:AJ18"/>
    <mergeCell ref="AK18:AN18"/>
    <mergeCell ref="A18:B18"/>
    <mergeCell ref="C18:M18"/>
    <mergeCell ref="N18:O18"/>
    <mergeCell ref="P18:T18"/>
    <mergeCell ref="U18:W18"/>
    <mergeCell ref="X18:AA18"/>
    <mergeCell ref="AB18:AF18"/>
    <mergeCell ref="AG17:AJ17"/>
    <mergeCell ref="AK17:AN17"/>
    <mergeCell ref="A17:B17"/>
    <mergeCell ref="C17:M17"/>
    <mergeCell ref="N17:O17"/>
    <mergeCell ref="P17:T17"/>
    <mergeCell ref="U17:W17"/>
    <mergeCell ref="X17:AA17"/>
    <mergeCell ref="AB17:AF17"/>
    <mergeCell ref="AG16:AJ16"/>
    <mergeCell ref="AK16:AN16"/>
    <mergeCell ref="A16:B16"/>
    <mergeCell ref="C16:M16"/>
    <mergeCell ref="N16:O16"/>
    <mergeCell ref="P16:T16"/>
    <mergeCell ref="U16:W16"/>
    <mergeCell ref="X16:AA16"/>
    <mergeCell ref="AB16:AF16"/>
    <mergeCell ref="A29:B29"/>
    <mergeCell ref="C29:M29"/>
    <mergeCell ref="U29:W29"/>
    <mergeCell ref="X29:AA29"/>
    <mergeCell ref="AB29:AF29"/>
    <mergeCell ref="AG29:AJ29"/>
    <mergeCell ref="AK29:AN29"/>
    <mergeCell ref="A30:B30"/>
    <mergeCell ref="C30:M30"/>
    <mergeCell ref="U30:W30"/>
    <mergeCell ref="X30:AA30"/>
    <mergeCell ref="AB30:AF30"/>
    <mergeCell ref="AG30:AJ30"/>
    <mergeCell ref="AK30:AN30"/>
    <mergeCell ref="C27:M27"/>
    <mergeCell ref="U27:W27"/>
    <mergeCell ref="X27:AA27"/>
    <mergeCell ref="AB27:AF27"/>
    <mergeCell ref="AG27:AJ27"/>
    <mergeCell ref="AK27:AN27"/>
    <mergeCell ref="A28:B28"/>
    <mergeCell ref="C28:M28"/>
    <mergeCell ref="U28:W28"/>
    <mergeCell ref="X28:AA28"/>
    <mergeCell ref="AB28:AF28"/>
    <mergeCell ref="AG28:AJ28"/>
    <mergeCell ref="AK28:AN28"/>
    <mergeCell ref="A34:B34"/>
    <mergeCell ref="C34:M34"/>
    <mergeCell ref="U34:W34"/>
    <mergeCell ref="X34:AA34"/>
    <mergeCell ref="AB34:AF34"/>
    <mergeCell ref="AG34:AJ34"/>
    <mergeCell ref="AK34:AN34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7:E37"/>
    <mergeCell ref="A38:E38"/>
    <mergeCell ref="A39:E39"/>
    <mergeCell ref="A32:B32"/>
    <mergeCell ref="C32:M32"/>
    <mergeCell ref="U32:W32"/>
    <mergeCell ref="X32:AA32"/>
    <mergeCell ref="AB32:AF32"/>
    <mergeCell ref="AG32:AJ32"/>
    <mergeCell ref="AK32:AN32"/>
    <mergeCell ref="A33:B33"/>
    <mergeCell ref="C33:M33"/>
    <mergeCell ref="U33:W33"/>
    <mergeCell ref="X33:AA33"/>
    <mergeCell ref="AB33:AF33"/>
    <mergeCell ref="AG33:AJ33"/>
    <mergeCell ref="AK33:AN33"/>
    <mergeCell ref="A25:B25"/>
    <mergeCell ref="C25:M25"/>
    <mergeCell ref="U25:W25"/>
    <mergeCell ref="X25:AA25"/>
    <mergeCell ref="AB25:AF25"/>
    <mergeCell ref="AG25:AJ25"/>
    <mergeCell ref="AK25:AN25"/>
    <mergeCell ref="A31:B31"/>
    <mergeCell ref="C31:M31"/>
    <mergeCell ref="U31:W31"/>
    <mergeCell ref="X31:AA31"/>
    <mergeCell ref="AB31:AF31"/>
    <mergeCell ref="AG31:AJ31"/>
    <mergeCell ref="AK31:AN31"/>
    <mergeCell ref="AG26:AJ26"/>
    <mergeCell ref="AK26:AN26"/>
    <mergeCell ref="A26:B26"/>
    <mergeCell ref="C26:M26"/>
    <mergeCell ref="N26:O26"/>
    <mergeCell ref="P26:T26"/>
    <mergeCell ref="U26:W26"/>
    <mergeCell ref="X26:AA26"/>
    <mergeCell ref="AB26:AF26"/>
    <mergeCell ref="A27:B27"/>
    <mergeCell ref="AG15:AJ15"/>
    <mergeCell ref="AK15:AN15"/>
    <mergeCell ref="A15:B15"/>
    <mergeCell ref="C15:M15"/>
    <mergeCell ref="N15:O15"/>
    <mergeCell ref="P15:T15"/>
    <mergeCell ref="U15:W15"/>
    <mergeCell ref="X15:AA15"/>
    <mergeCell ref="AB15:AF15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B10:P10"/>
    <mergeCell ref="S10:V10"/>
    <mergeCell ref="W10:AC10"/>
    <mergeCell ref="AD10:AG10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G24:AJ24"/>
    <mergeCell ref="AK24:AN24"/>
    <mergeCell ref="A24:B24"/>
    <mergeCell ref="C24:M24"/>
    <mergeCell ref="N24:O24"/>
    <mergeCell ref="P24:T24"/>
    <mergeCell ref="U24:W24"/>
    <mergeCell ref="X24:AA24"/>
    <mergeCell ref="AB24:AF24"/>
    <mergeCell ref="AG23:AJ23"/>
    <mergeCell ref="AK23:AN23"/>
    <mergeCell ref="A23:B23"/>
    <mergeCell ref="C23:M23"/>
    <mergeCell ref="N23:O23"/>
    <mergeCell ref="P23:T23"/>
    <mergeCell ref="U23:W23"/>
    <mergeCell ref="X23:AA23"/>
    <mergeCell ref="AB23:AF23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</mergeCells>
  <phoneticPr fontId="8" type="noConversion"/>
  <printOptions horizontalCentered="1"/>
  <pageMargins left="0.39" right="0.39" top="0.39" bottom="0.39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000"/>
  <sheetViews>
    <sheetView showGridLines="0" workbookViewId="0">
      <selection activeCell="C25" sqref="C25:T25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 t="s">
        <v>3</v>
      </c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49" t="s">
        <v>61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28">
        <v>316</v>
      </c>
      <c r="O15" s="20"/>
      <c r="P15" s="40" t="s">
        <v>62</v>
      </c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63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8">
        <v>304</v>
      </c>
      <c r="O16" s="20"/>
      <c r="P16" s="40" t="s">
        <v>64</v>
      </c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65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8">
        <v>316</v>
      </c>
      <c r="O17" s="20"/>
      <c r="P17" s="40" t="s">
        <v>66</v>
      </c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67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8">
        <v>316</v>
      </c>
      <c r="O18" s="20"/>
      <c r="P18" s="40" t="s">
        <v>68</v>
      </c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 t="s">
        <v>69</v>
      </c>
      <c r="AL18" s="20"/>
      <c r="AM18" s="20"/>
      <c r="AN18" s="21"/>
    </row>
    <row r="19" spans="1:40" ht="19.5" customHeight="1">
      <c r="A19" s="19">
        <v>5</v>
      </c>
      <c r="B19" s="21"/>
      <c r="C19" s="28" t="s">
        <v>70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8">
        <v>316</v>
      </c>
      <c r="O19" s="20"/>
      <c r="P19" s="40" t="s">
        <v>71</v>
      </c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28" t="s">
        <v>72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8">
        <v>316</v>
      </c>
      <c r="O20" s="20"/>
      <c r="P20" s="40" t="s">
        <v>71</v>
      </c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73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8">
        <v>316</v>
      </c>
      <c r="O21" s="20"/>
      <c r="P21" s="40" t="s">
        <v>74</v>
      </c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49"/>
      <c r="AL21" s="20"/>
      <c r="AM21" s="20"/>
      <c r="AN21" s="21"/>
    </row>
    <row r="22" spans="1:40" ht="19.5" customHeight="1">
      <c r="A22" s="19">
        <v>8</v>
      </c>
      <c r="B22" s="21"/>
      <c r="C22" s="28" t="s">
        <v>75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8">
        <v>316</v>
      </c>
      <c r="O22" s="20"/>
      <c r="P22" s="40" t="s">
        <v>66</v>
      </c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8"/>
      <c r="O23" s="20"/>
      <c r="P23" s="4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8"/>
      <c r="O24" s="20"/>
      <c r="P24" s="4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76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8">
        <v>304</v>
      </c>
      <c r="O25" s="20"/>
      <c r="P25" s="40" t="s">
        <v>74</v>
      </c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49"/>
      <c r="AL25" s="20"/>
      <c r="AM25" s="20"/>
      <c r="AN25" s="21"/>
    </row>
    <row r="26" spans="1:40" ht="19.5" customHeight="1">
      <c r="A26" s="19">
        <v>12</v>
      </c>
      <c r="B26" s="21"/>
      <c r="C26" s="28" t="s">
        <v>77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8">
        <v>316</v>
      </c>
      <c r="O26" s="20"/>
      <c r="P26" s="40" t="s">
        <v>78</v>
      </c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79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8">
        <v>316</v>
      </c>
      <c r="O27" s="20"/>
      <c r="P27" s="40" t="s">
        <v>80</v>
      </c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 t="s">
        <v>81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8">
        <v>316</v>
      </c>
      <c r="O28" s="20"/>
      <c r="P28" s="40" t="s">
        <v>78</v>
      </c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82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8">
        <v>304</v>
      </c>
      <c r="O29" s="20"/>
      <c r="P29" s="40" t="s">
        <v>64</v>
      </c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83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8">
        <v>316</v>
      </c>
      <c r="O30" s="20"/>
      <c r="P30" s="40" t="s">
        <v>84</v>
      </c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49" t="s">
        <v>85</v>
      </c>
      <c r="AL30" s="20"/>
      <c r="AM30" s="20"/>
      <c r="AN30" s="21"/>
    </row>
    <row r="31" spans="1:40" ht="19.5" customHeight="1">
      <c r="A31" s="19">
        <v>17</v>
      </c>
      <c r="B31" s="21"/>
      <c r="C31" s="28" t="s">
        <v>86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8">
        <v>316</v>
      </c>
      <c r="O31" s="20"/>
      <c r="P31" s="40" t="s">
        <v>87</v>
      </c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88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8">
        <v>316</v>
      </c>
      <c r="O32" s="20"/>
      <c r="P32" s="40" t="s">
        <v>89</v>
      </c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90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8">
        <v>316</v>
      </c>
      <c r="O33" s="20"/>
      <c r="P33" s="40" t="s">
        <v>91</v>
      </c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9">
    <mergeCell ref="AG29:AJ29"/>
    <mergeCell ref="AK29:AN29"/>
    <mergeCell ref="A29:B29"/>
    <mergeCell ref="C29:M29"/>
    <mergeCell ref="N29:O29"/>
    <mergeCell ref="P29:T29"/>
    <mergeCell ref="U29:W29"/>
    <mergeCell ref="X29:AA29"/>
    <mergeCell ref="AB29:AF29"/>
    <mergeCell ref="AG28:AJ28"/>
    <mergeCell ref="AK28:AN28"/>
    <mergeCell ref="A28:B28"/>
    <mergeCell ref="C28:M28"/>
    <mergeCell ref="N28:O28"/>
    <mergeCell ref="P28:T28"/>
    <mergeCell ref="U28:W28"/>
    <mergeCell ref="X28:AA28"/>
    <mergeCell ref="AB28:AF28"/>
    <mergeCell ref="AG27:AJ27"/>
    <mergeCell ref="AK27:AN27"/>
    <mergeCell ref="A27:B27"/>
    <mergeCell ref="C27:M27"/>
    <mergeCell ref="N27:O27"/>
    <mergeCell ref="P27:T27"/>
    <mergeCell ref="U27:W27"/>
    <mergeCell ref="X27:AA27"/>
    <mergeCell ref="AB27:AF27"/>
    <mergeCell ref="AG26:AJ26"/>
    <mergeCell ref="AK26:AN26"/>
    <mergeCell ref="A26:B26"/>
    <mergeCell ref="C26:M26"/>
    <mergeCell ref="N26:O26"/>
    <mergeCell ref="P26:T26"/>
    <mergeCell ref="U26:W26"/>
    <mergeCell ref="X26:AA26"/>
    <mergeCell ref="AB26:AF26"/>
    <mergeCell ref="AG25:AJ25"/>
    <mergeCell ref="AK25:AN25"/>
    <mergeCell ref="A25:B25"/>
    <mergeCell ref="C25:M25"/>
    <mergeCell ref="N25:O25"/>
    <mergeCell ref="P25:T25"/>
    <mergeCell ref="U25:W25"/>
    <mergeCell ref="X25:AA25"/>
    <mergeCell ref="AB25:AF25"/>
    <mergeCell ref="A37:E37"/>
    <mergeCell ref="F37:AN37"/>
    <mergeCell ref="A38:E38"/>
    <mergeCell ref="F38:AN38"/>
    <mergeCell ref="A39:E39"/>
    <mergeCell ref="F39:AN39"/>
    <mergeCell ref="AG23:AJ23"/>
    <mergeCell ref="AK23:AN23"/>
    <mergeCell ref="A23:B23"/>
    <mergeCell ref="C23:M23"/>
    <mergeCell ref="N23:O23"/>
    <mergeCell ref="P23:T23"/>
    <mergeCell ref="U23:W23"/>
    <mergeCell ref="X23:AA23"/>
    <mergeCell ref="AB23:AF23"/>
    <mergeCell ref="AG24:AJ24"/>
    <mergeCell ref="AK24:AN24"/>
    <mergeCell ref="A24:B24"/>
    <mergeCell ref="C24:M24"/>
    <mergeCell ref="N24:O24"/>
    <mergeCell ref="P24:T24"/>
    <mergeCell ref="U24:W24"/>
    <mergeCell ref="X24:AA24"/>
    <mergeCell ref="AB24:AF24"/>
    <mergeCell ref="A36:E36"/>
    <mergeCell ref="F36:AN36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A34:B34"/>
    <mergeCell ref="N34:T34"/>
    <mergeCell ref="U34:W34"/>
    <mergeCell ref="X34:AA34"/>
    <mergeCell ref="AB34:AF34"/>
    <mergeCell ref="AG34:AJ34"/>
    <mergeCell ref="AK34:AN34"/>
    <mergeCell ref="C34:M34"/>
    <mergeCell ref="A35:AA35"/>
    <mergeCell ref="AB35:AF35"/>
    <mergeCell ref="AG35:AJ35"/>
    <mergeCell ref="AK35:AN35"/>
    <mergeCell ref="AG33:AJ33"/>
    <mergeCell ref="AK33:AN33"/>
    <mergeCell ref="A33:B33"/>
    <mergeCell ref="C33:M33"/>
    <mergeCell ref="N33:O33"/>
    <mergeCell ref="P33:T33"/>
    <mergeCell ref="U33:W33"/>
    <mergeCell ref="X33:AA33"/>
    <mergeCell ref="AB33:AF33"/>
    <mergeCell ref="AG32:AJ32"/>
    <mergeCell ref="AK32:AN32"/>
    <mergeCell ref="A32:B32"/>
    <mergeCell ref="C32:M32"/>
    <mergeCell ref="N32:O32"/>
    <mergeCell ref="P32:T32"/>
    <mergeCell ref="U32:W32"/>
    <mergeCell ref="X32:AA32"/>
    <mergeCell ref="AB32:AF32"/>
    <mergeCell ref="AG31:AJ31"/>
    <mergeCell ref="AK31:AN31"/>
    <mergeCell ref="A31:B31"/>
    <mergeCell ref="C31:M31"/>
    <mergeCell ref="N31:O31"/>
    <mergeCell ref="P31:T31"/>
    <mergeCell ref="U31:W31"/>
    <mergeCell ref="X31:AA31"/>
    <mergeCell ref="AB31:AF31"/>
    <mergeCell ref="B10:P10"/>
    <mergeCell ref="S10:V10"/>
    <mergeCell ref="W10:AC10"/>
    <mergeCell ref="AD10:AG10"/>
    <mergeCell ref="AG30:AJ30"/>
    <mergeCell ref="AK30:AN30"/>
    <mergeCell ref="A30:B30"/>
    <mergeCell ref="C30:M30"/>
    <mergeCell ref="N30:O30"/>
    <mergeCell ref="P30:T30"/>
    <mergeCell ref="U30:W30"/>
    <mergeCell ref="X30:AA30"/>
    <mergeCell ref="AB30:AF30"/>
    <mergeCell ref="X14:AA14"/>
    <mergeCell ref="AB14:AF14"/>
    <mergeCell ref="AG15:AJ15"/>
    <mergeCell ref="AK15:AN15"/>
    <mergeCell ref="A15:B15"/>
    <mergeCell ref="C15:M15"/>
    <mergeCell ref="N15:O15"/>
    <mergeCell ref="P15:T15"/>
    <mergeCell ref="U15:W15"/>
    <mergeCell ref="X15:AA15"/>
    <mergeCell ref="AB15:AF15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G22:AJ22"/>
    <mergeCell ref="AK22:AN22"/>
    <mergeCell ref="A22:B22"/>
    <mergeCell ref="C22:M22"/>
    <mergeCell ref="N22:O22"/>
    <mergeCell ref="P22:T22"/>
    <mergeCell ref="U22:W22"/>
    <mergeCell ref="X22:AA22"/>
    <mergeCell ref="AB22:AF22"/>
    <mergeCell ref="AG21:AJ21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G19:AJ19"/>
    <mergeCell ref="AK19:AN19"/>
    <mergeCell ref="A19:B19"/>
    <mergeCell ref="C19:M19"/>
    <mergeCell ref="N19:O19"/>
    <mergeCell ref="P19:T19"/>
    <mergeCell ref="U19:W19"/>
    <mergeCell ref="X19:AA19"/>
    <mergeCell ref="AB19:AF19"/>
    <mergeCell ref="AG18:AJ18"/>
    <mergeCell ref="AK18:AN18"/>
    <mergeCell ref="A18:B18"/>
    <mergeCell ref="C18:M18"/>
    <mergeCell ref="N18:O18"/>
    <mergeCell ref="P18:T18"/>
    <mergeCell ref="U18:W18"/>
    <mergeCell ref="X18:AA18"/>
    <mergeCell ref="AB18:AF18"/>
    <mergeCell ref="AG17:AJ17"/>
    <mergeCell ref="AK17:AN17"/>
    <mergeCell ref="A17:B17"/>
    <mergeCell ref="C17:M17"/>
    <mergeCell ref="N17:O17"/>
    <mergeCell ref="P17:T17"/>
    <mergeCell ref="U17:W17"/>
    <mergeCell ref="X17:AA17"/>
    <mergeCell ref="AB17:AF17"/>
    <mergeCell ref="AG16:AJ16"/>
    <mergeCell ref="AK16:AN16"/>
    <mergeCell ref="A16:B16"/>
    <mergeCell ref="C16:M16"/>
    <mergeCell ref="N16:O16"/>
    <mergeCell ref="P16:T16"/>
    <mergeCell ref="U16:W16"/>
    <mergeCell ref="X16:AA16"/>
    <mergeCell ref="AB16:AF16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N1000"/>
  <sheetViews>
    <sheetView showGridLines="0" workbookViewId="0">
      <selection activeCell="C17" sqref="C17:T17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 t="s">
        <v>3</v>
      </c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92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28">
        <v>316</v>
      </c>
      <c r="O15" s="20"/>
      <c r="P15" s="40" t="s">
        <v>80</v>
      </c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93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8">
        <v>316</v>
      </c>
      <c r="O16" s="20"/>
      <c r="P16" s="40" t="s">
        <v>94</v>
      </c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49" t="s">
        <v>485</v>
      </c>
      <c r="AL16" s="20"/>
      <c r="AM16" s="20"/>
      <c r="AN16" s="21"/>
    </row>
    <row r="17" spans="1:40" ht="19.5" customHeight="1">
      <c r="A17" s="19">
        <v>3</v>
      </c>
      <c r="B17" s="21"/>
      <c r="C17" s="28" t="s">
        <v>95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8">
        <v>316</v>
      </c>
      <c r="O17" s="20"/>
      <c r="P17" s="40" t="s">
        <v>66</v>
      </c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96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8">
        <v>316</v>
      </c>
      <c r="O18" s="20"/>
      <c r="P18" s="40" t="s">
        <v>68</v>
      </c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97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8">
        <v>304</v>
      </c>
      <c r="O19" s="20"/>
      <c r="P19" s="40" t="s">
        <v>98</v>
      </c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28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8"/>
      <c r="O20" s="20"/>
      <c r="P20" s="4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/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8"/>
      <c r="O21" s="20"/>
      <c r="P21" s="4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99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8">
        <v>316</v>
      </c>
      <c r="O22" s="20"/>
      <c r="P22" s="40" t="s">
        <v>66</v>
      </c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49"/>
      <c r="AL22" s="20"/>
      <c r="AM22" s="20"/>
      <c r="AN22" s="21"/>
    </row>
    <row r="23" spans="1:40" ht="19.5" customHeight="1">
      <c r="A23" s="19">
        <v>9</v>
      </c>
      <c r="B23" s="21"/>
      <c r="C23" s="28" t="s">
        <v>100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8">
        <v>316</v>
      </c>
      <c r="O23" s="20"/>
      <c r="P23" s="40" t="s">
        <v>78</v>
      </c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/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/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/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101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8">
        <v>304</v>
      </c>
      <c r="O27" s="20"/>
      <c r="P27" s="40" t="s">
        <v>87</v>
      </c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 t="s">
        <v>102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8">
        <v>316</v>
      </c>
      <c r="O28" s="20"/>
      <c r="P28" s="40" t="s">
        <v>103</v>
      </c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/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104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8">
        <v>316</v>
      </c>
      <c r="O30" s="20"/>
      <c r="P30" s="40" t="s">
        <v>105</v>
      </c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/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2">
    <mergeCell ref="AB31:AF31"/>
    <mergeCell ref="AG31:AJ31"/>
    <mergeCell ref="AK31:AN31"/>
    <mergeCell ref="AB30:AF30"/>
    <mergeCell ref="AG30:AJ30"/>
    <mergeCell ref="A31:B31"/>
    <mergeCell ref="C31:M31"/>
    <mergeCell ref="N31:T31"/>
    <mergeCell ref="U31:W31"/>
    <mergeCell ref="X31:AA31"/>
    <mergeCell ref="C29:M29"/>
    <mergeCell ref="N29:T29"/>
    <mergeCell ref="U29:W29"/>
    <mergeCell ref="X29:AA29"/>
    <mergeCell ref="AB29:AF29"/>
    <mergeCell ref="AG29:AJ29"/>
    <mergeCell ref="AK29:AN29"/>
    <mergeCell ref="A29:B29"/>
    <mergeCell ref="A30:B30"/>
    <mergeCell ref="C30:M30"/>
    <mergeCell ref="N30:O30"/>
    <mergeCell ref="P30:T30"/>
    <mergeCell ref="U30:W30"/>
    <mergeCell ref="X30:AA30"/>
    <mergeCell ref="AK30:AN30"/>
    <mergeCell ref="A27:B27"/>
    <mergeCell ref="C27:M27"/>
    <mergeCell ref="N27:O27"/>
    <mergeCell ref="P27:T27"/>
    <mergeCell ref="U27:W27"/>
    <mergeCell ref="X27:AA27"/>
    <mergeCell ref="AG28:AJ28"/>
    <mergeCell ref="AK28:AN28"/>
    <mergeCell ref="A28:B28"/>
    <mergeCell ref="C28:M28"/>
    <mergeCell ref="N28:O28"/>
    <mergeCell ref="P28:T28"/>
    <mergeCell ref="U28:W28"/>
    <mergeCell ref="X28:AA28"/>
    <mergeCell ref="AB28:AF28"/>
    <mergeCell ref="AK25:AN25"/>
    <mergeCell ref="C26:M26"/>
    <mergeCell ref="N26:T26"/>
    <mergeCell ref="U26:W26"/>
    <mergeCell ref="X26:AA26"/>
    <mergeCell ref="AK26:AN26"/>
    <mergeCell ref="AB27:AF27"/>
    <mergeCell ref="AG27:AJ27"/>
    <mergeCell ref="AK27:AN27"/>
    <mergeCell ref="A25:B25"/>
    <mergeCell ref="C25:M25"/>
    <mergeCell ref="N25:T25"/>
    <mergeCell ref="U25:W25"/>
    <mergeCell ref="X25:AA25"/>
    <mergeCell ref="AB25:AF25"/>
    <mergeCell ref="AB26:AF26"/>
    <mergeCell ref="AG26:AJ26"/>
    <mergeCell ref="AG25:AJ25"/>
    <mergeCell ref="A26:B26"/>
    <mergeCell ref="AK23:AN23"/>
    <mergeCell ref="A23:B23"/>
    <mergeCell ref="C23:M23"/>
    <mergeCell ref="N23:O23"/>
    <mergeCell ref="P23:T23"/>
    <mergeCell ref="U23:W23"/>
    <mergeCell ref="X23:AA23"/>
    <mergeCell ref="AB23:AF23"/>
    <mergeCell ref="C24:M24"/>
    <mergeCell ref="N24:T24"/>
    <mergeCell ref="U24:W24"/>
    <mergeCell ref="X24:AA24"/>
    <mergeCell ref="AB24:AF24"/>
    <mergeCell ref="AG24:AJ24"/>
    <mergeCell ref="AK24:AN24"/>
    <mergeCell ref="A24:B24"/>
    <mergeCell ref="AG23:AJ2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F12:T13"/>
    <mergeCell ref="U12:V13"/>
    <mergeCell ref="W12:W13"/>
    <mergeCell ref="X12:AL13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B10:P10"/>
    <mergeCell ref="S10:V10"/>
    <mergeCell ref="W10:AC10"/>
    <mergeCell ref="AD10:AG10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39:E39"/>
    <mergeCell ref="F39:AN39"/>
    <mergeCell ref="C34:M34"/>
    <mergeCell ref="A35:AA35"/>
    <mergeCell ref="AB35:AF35"/>
    <mergeCell ref="AG35:AJ35"/>
    <mergeCell ref="AK35:AN35"/>
    <mergeCell ref="A36:E36"/>
    <mergeCell ref="F36:AN36"/>
    <mergeCell ref="AB34:AF34"/>
    <mergeCell ref="AG34:AJ34"/>
    <mergeCell ref="A34:B34"/>
    <mergeCell ref="N34:T34"/>
    <mergeCell ref="U34:W34"/>
    <mergeCell ref="X34:AA34"/>
    <mergeCell ref="AK34:AN34"/>
    <mergeCell ref="A37:E37"/>
    <mergeCell ref="F37:AN37"/>
    <mergeCell ref="A38:E38"/>
    <mergeCell ref="F38:AN38"/>
    <mergeCell ref="AK32:AN32"/>
    <mergeCell ref="A32:B32"/>
    <mergeCell ref="A33:B33"/>
    <mergeCell ref="C33:M33"/>
    <mergeCell ref="N33:T33"/>
    <mergeCell ref="U33:W33"/>
    <mergeCell ref="X33:AA33"/>
    <mergeCell ref="AB33:AF33"/>
    <mergeCell ref="AG33:AJ33"/>
    <mergeCell ref="AK33:AN33"/>
    <mergeCell ref="C32:M32"/>
    <mergeCell ref="N32:T32"/>
    <mergeCell ref="U32:W32"/>
    <mergeCell ref="X32:AA32"/>
    <mergeCell ref="AB32:AF32"/>
    <mergeCell ref="AG32:AJ32"/>
    <mergeCell ref="AG15:AJ15"/>
    <mergeCell ref="AK15:AN15"/>
    <mergeCell ref="A15:B15"/>
    <mergeCell ref="C15:M15"/>
    <mergeCell ref="N15:O15"/>
    <mergeCell ref="P15:T15"/>
    <mergeCell ref="U15:W15"/>
    <mergeCell ref="X15:AA15"/>
    <mergeCell ref="AB15:AF15"/>
    <mergeCell ref="AG22:AJ22"/>
    <mergeCell ref="AK22:AN22"/>
    <mergeCell ref="A22:B22"/>
    <mergeCell ref="C22:M22"/>
    <mergeCell ref="N22:O22"/>
    <mergeCell ref="P22:T22"/>
    <mergeCell ref="U22:W22"/>
    <mergeCell ref="X22:AA22"/>
    <mergeCell ref="AB22:AF22"/>
    <mergeCell ref="AG21:AJ21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G19:AJ19"/>
    <mergeCell ref="AK19:AN19"/>
    <mergeCell ref="A19:B19"/>
    <mergeCell ref="C19:M19"/>
    <mergeCell ref="N19:O19"/>
    <mergeCell ref="P19:T19"/>
    <mergeCell ref="U19:W19"/>
    <mergeCell ref="X19:AA19"/>
    <mergeCell ref="AB19:AF19"/>
    <mergeCell ref="AG18:AJ18"/>
    <mergeCell ref="AK18:AN18"/>
    <mergeCell ref="A18:B18"/>
    <mergeCell ref="C18:M18"/>
    <mergeCell ref="N18:O18"/>
    <mergeCell ref="P18:T18"/>
    <mergeCell ref="U18:W18"/>
    <mergeCell ref="X18:AA18"/>
    <mergeCell ref="AB18:AF18"/>
    <mergeCell ref="AG17:AJ17"/>
    <mergeCell ref="AK17:AN17"/>
    <mergeCell ref="A17:B17"/>
    <mergeCell ref="C17:M17"/>
    <mergeCell ref="N17:O17"/>
    <mergeCell ref="P17:T17"/>
    <mergeCell ref="U17:W17"/>
    <mergeCell ref="X17:AA17"/>
    <mergeCell ref="AB17:AF17"/>
    <mergeCell ref="AG16:AJ16"/>
    <mergeCell ref="AK16:AN16"/>
    <mergeCell ref="A16:B16"/>
    <mergeCell ref="C16:M16"/>
    <mergeCell ref="N16:O16"/>
    <mergeCell ref="P16:T16"/>
    <mergeCell ref="U16:W16"/>
    <mergeCell ref="X16:AA16"/>
    <mergeCell ref="AB16:AF16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1000"/>
  <sheetViews>
    <sheetView showGridLines="0" workbookViewId="0">
      <selection sqref="A1:AN3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 t="s">
        <v>3</v>
      </c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106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28">
        <v>316</v>
      </c>
      <c r="O15" s="20"/>
      <c r="P15" s="40" t="s">
        <v>107</v>
      </c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108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8">
        <v>316</v>
      </c>
      <c r="O16" s="20"/>
      <c r="P16" s="40" t="s">
        <v>109</v>
      </c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110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8">
        <v>316</v>
      </c>
      <c r="O17" s="20"/>
      <c r="P17" s="40" t="s">
        <v>111</v>
      </c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112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8">
        <v>316</v>
      </c>
      <c r="O18" s="20"/>
      <c r="P18" s="40" t="s">
        <v>113</v>
      </c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114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8">
        <v>316</v>
      </c>
      <c r="O19" s="20"/>
      <c r="P19" s="40" t="s">
        <v>47</v>
      </c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49"/>
      <c r="AL19" s="20"/>
      <c r="AM19" s="20"/>
      <c r="AN19" s="21"/>
    </row>
    <row r="20" spans="1:40" ht="19.5" customHeight="1">
      <c r="A20" s="19">
        <v>6</v>
      </c>
      <c r="B20" s="21"/>
      <c r="C20" s="28" t="s">
        <v>115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8">
        <v>316</v>
      </c>
      <c r="O20" s="20"/>
      <c r="P20" s="40" t="s">
        <v>111</v>
      </c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116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8"/>
      <c r="O21" s="20"/>
      <c r="P21" s="4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117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8"/>
      <c r="O22" s="20"/>
      <c r="P22" s="4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118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8">
        <v>316</v>
      </c>
      <c r="O23" s="20"/>
      <c r="P23" s="40" t="s">
        <v>119</v>
      </c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120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8">
        <v>316</v>
      </c>
      <c r="O24" s="20"/>
      <c r="P24" s="40" t="s">
        <v>121</v>
      </c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8"/>
      <c r="O25" s="20"/>
      <c r="P25" s="4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 t="s">
        <v>122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8">
        <v>316</v>
      </c>
      <c r="O26" s="20"/>
      <c r="P26" s="40" t="s">
        <v>123</v>
      </c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124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8">
        <v>316</v>
      </c>
      <c r="O27" s="20"/>
      <c r="P27" s="40" t="s">
        <v>125</v>
      </c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 t="s">
        <v>126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8">
        <v>316</v>
      </c>
      <c r="O28" s="20"/>
      <c r="P28" s="40" t="s">
        <v>123</v>
      </c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127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8">
        <v>304</v>
      </c>
      <c r="O29" s="20"/>
      <c r="P29" s="40" t="s">
        <v>128</v>
      </c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129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8">
        <v>316</v>
      </c>
      <c r="O30" s="20"/>
      <c r="P30" s="40" t="s">
        <v>130</v>
      </c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/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6">
    <mergeCell ref="AG29:AJ29"/>
    <mergeCell ref="AK29:AN29"/>
    <mergeCell ref="A29:B29"/>
    <mergeCell ref="C29:M29"/>
    <mergeCell ref="N29:O29"/>
    <mergeCell ref="P29:T29"/>
    <mergeCell ref="U29:W29"/>
    <mergeCell ref="X29:AA29"/>
    <mergeCell ref="AB29:AF29"/>
    <mergeCell ref="AG28:AJ28"/>
    <mergeCell ref="AK28:AN28"/>
    <mergeCell ref="A28:B28"/>
    <mergeCell ref="C28:M28"/>
    <mergeCell ref="N28:O28"/>
    <mergeCell ref="P28:T28"/>
    <mergeCell ref="U28:W28"/>
    <mergeCell ref="X28:AA28"/>
    <mergeCell ref="AB28:AF28"/>
    <mergeCell ref="AG27:AJ27"/>
    <mergeCell ref="AK27:AN27"/>
    <mergeCell ref="A27:B27"/>
    <mergeCell ref="C27:M27"/>
    <mergeCell ref="N27:O27"/>
    <mergeCell ref="P27:T27"/>
    <mergeCell ref="U27:W27"/>
    <mergeCell ref="X27:AA27"/>
    <mergeCell ref="AB27:AF27"/>
    <mergeCell ref="AG26:AJ26"/>
    <mergeCell ref="AK26:AN26"/>
    <mergeCell ref="A26:B26"/>
    <mergeCell ref="C26:M26"/>
    <mergeCell ref="N26:O26"/>
    <mergeCell ref="P26:T26"/>
    <mergeCell ref="U26:W26"/>
    <mergeCell ref="X26:AA26"/>
    <mergeCell ref="AB26:AF26"/>
    <mergeCell ref="U24:W24"/>
    <mergeCell ref="X24:AA24"/>
    <mergeCell ref="AB24:AF24"/>
    <mergeCell ref="AG25:AJ25"/>
    <mergeCell ref="AK25:AN25"/>
    <mergeCell ref="A25:B25"/>
    <mergeCell ref="C25:M25"/>
    <mergeCell ref="N25:O25"/>
    <mergeCell ref="P25:T25"/>
    <mergeCell ref="U25:W25"/>
    <mergeCell ref="X25:AA25"/>
    <mergeCell ref="AB25:AF25"/>
    <mergeCell ref="AK15:AN15"/>
    <mergeCell ref="A15:B15"/>
    <mergeCell ref="C15:M15"/>
    <mergeCell ref="N15:O15"/>
    <mergeCell ref="P15:T15"/>
    <mergeCell ref="U15:W15"/>
    <mergeCell ref="X15:AA15"/>
    <mergeCell ref="AB15:AF15"/>
    <mergeCell ref="AG34:AJ34"/>
    <mergeCell ref="AK34:AN34"/>
    <mergeCell ref="AG23:AJ23"/>
    <mergeCell ref="AK23:AN23"/>
    <mergeCell ref="A23:B23"/>
    <mergeCell ref="C23:M23"/>
    <mergeCell ref="N23:O23"/>
    <mergeCell ref="P23:T23"/>
    <mergeCell ref="U23:W23"/>
    <mergeCell ref="X23:AA23"/>
    <mergeCell ref="AB23:AF23"/>
    <mergeCell ref="AG24:AJ24"/>
    <mergeCell ref="AK24:AN24"/>
    <mergeCell ref="A24:B24"/>
    <mergeCell ref="C24:M24"/>
    <mergeCell ref="N24:O24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B10:P10"/>
    <mergeCell ref="S10:V10"/>
    <mergeCell ref="W10:AC10"/>
    <mergeCell ref="AD10:AG10"/>
    <mergeCell ref="AG30:AJ30"/>
    <mergeCell ref="P22:T22"/>
    <mergeCell ref="U22:W22"/>
    <mergeCell ref="X22:AA22"/>
    <mergeCell ref="AB22:AF22"/>
    <mergeCell ref="AG21:AJ21"/>
    <mergeCell ref="AG19:AJ19"/>
    <mergeCell ref="AG17:AJ17"/>
    <mergeCell ref="U14:W14"/>
    <mergeCell ref="X14:AA14"/>
    <mergeCell ref="AB14:AF14"/>
    <mergeCell ref="AG15:AJ15"/>
    <mergeCell ref="P24:T24"/>
    <mergeCell ref="AK30:AN30"/>
    <mergeCell ref="A30:B30"/>
    <mergeCell ref="C30:M30"/>
    <mergeCell ref="N30:O30"/>
    <mergeCell ref="P30:T30"/>
    <mergeCell ref="U30:W30"/>
    <mergeCell ref="X30:AA30"/>
    <mergeCell ref="AB30:AF30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AG22:AJ22"/>
    <mergeCell ref="AK22:AN22"/>
    <mergeCell ref="A22:B22"/>
    <mergeCell ref="C22:M22"/>
    <mergeCell ref="N22:O22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K19:AN19"/>
    <mergeCell ref="A19:B19"/>
    <mergeCell ref="C19:M19"/>
    <mergeCell ref="N19:O19"/>
    <mergeCell ref="P19:T19"/>
    <mergeCell ref="U19:W19"/>
    <mergeCell ref="X19:AA19"/>
    <mergeCell ref="AB19:AF19"/>
    <mergeCell ref="AG18:AJ18"/>
    <mergeCell ref="AK18:AN18"/>
    <mergeCell ref="A18:B18"/>
    <mergeCell ref="C18:M18"/>
    <mergeCell ref="N18:O18"/>
    <mergeCell ref="P18:T18"/>
    <mergeCell ref="U18:W18"/>
    <mergeCell ref="X18:AA18"/>
    <mergeCell ref="AB18:AF18"/>
    <mergeCell ref="AK17:AN17"/>
    <mergeCell ref="A17:B17"/>
    <mergeCell ref="C17:M17"/>
    <mergeCell ref="N17:O17"/>
    <mergeCell ref="P17:T17"/>
    <mergeCell ref="U17:W17"/>
    <mergeCell ref="X17:AA17"/>
    <mergeCell ref="AB17:AF17"/>
    <mergeCell ref="AG16:AJ16"/>
    <mergeCell ref="AK16:AN16"/>
    <mergeCell ref="A16:B16"/>
    <mergeCell ref="C16:M16"/>
    <mergeCell ref="N16:O16"/>
    <mergeCell ref="P16:T16"/>
    <mergeCell ref="U16:W16"/>
    <mergeCell ref="X16:AA16"/>
    <mergeCell ref="AB16:AF16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N1000"/>
  <sheetViews>
    <sheetView showGridLines="0" workbookViewId="0">
      <selection activeCell="C25" sqref="C25:T25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 t="s">
        <v>3</v>
      </c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131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28">
        <v>316</v>
      </c>
      <c r="O15" s="20"/>
      <c r="P15" s="40" t="s">
        <v>492</v>
      </c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132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8">
        <v>316</v>
      </c>
      <c r="O16" s="20"/>
      <c r="P16" s="40" t="s">
        <v>74</v>
      </c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133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8">
        <v>316</v>
      </c>
      <c r="O17" s="20"/>
      <c r="P17" s="40" t="s">
        <v>66</v>
      </c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134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8">
        <v>316</v>
      </c>
      <c r="O18" s="20"/>
      <c r="P18" s="40" t="s">
        <v>68</v>
      </c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135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8">
        <v>316</v>
      </c>
      <c r="O19" s="20"/>
      <c r="P19" s="40" t="s">
        <v>136</v>
      </c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28" t="s">
        <v>137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28">
        <v>316</v>
      </c>
      <c r="O20" s="20"/>
      <c r="P20" s="40" t="s">
        <v>138</v>
      </c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139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28">
        <v>316</v>
      </c>
      <c r="O21" s="20"/>
      <c r="P21" s="40" t="s">
        <v>140</v>
      </c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8"/>
      <c r="O22" s="20"/>
      <c r="P22" s="4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8"/>
      <c r="O23" s="20"/>
      <c r="P23" s="4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141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8">
        <v>316</v>
      </c>
      <c r="O24" s="20"/>
      <c r="P24" s="40" t="s">
        <v>142</v>
      </c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49" t="s">
        <v>143</v>
      </c>
      <c r="AL24" s="20"/>
      <c r="AM24" s="20"/>
      <c r="AN24" s="21"/>
    </row>
    <row r="25" spans="1:40" ht="19.5" customHeight="1">
      <c r="A25" s="19">
        <v>11</v>
      </c>
      <c r="B25" s="21"/>
      <c r="C25" s="28" t="s">
        <v>144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8">
        <v>316</v>
      </c>
      <c r="O25" s="20"/>
      <c r="P25" s="40" t="s">
        <v>78</v>
      </c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49"/>
      <c r="AL25" s="20"/>
      <c r="AM25" s="20"/>
      <c r="AN25" s="21"/>
    </row>
    <row r="26" spans="1:40" ht="19.5" customHeight="1">
      <c r="A26" s="19">
        <v>12</v>
      </c>
      <c r="B26" s="21"/>
      <c r="C26" s="28" t="s">
        <v>145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8">
        <v>304</v>
      </c>
      <c r="O26" s="20"/>
      <c r="P26" s="40" t="s">
        <v>66</v>
      </c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49"/>
      <c r="AL26" s="20"/>
      <c r="AM26" s="20"/>
      <c r="AN26" s="21"/>
    </row>
    <row r="27" spans="1:40" ht="19.5" customHeight="1">
      <c r="A27" s="19">
        <v>13</v>
      </c>
      <c r="B27" s="21"/>
      <c r="C27" s="28" t="s">
        <v>146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8">
        <v>304</v>
      </c>
      <c r="O27" s="20"/>
      <c r="P27" s="40" t="s">
        <v>66</v>
      </c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49" t="s">
        <v>147</v>
      </c>
      <c r="AL27" s="20"/>
      <c r="AM27" s="20"/>
      <c r="AN27" s="21"/>
    </row>
    <row r="28" spans="1:40" ht="19.5" customHeight="1">
      <c r="A28" s="19">
        <v>14</v>
      </c>
      <c r="B28" s="21"/>
      <c r="C28" s="28" t="s">
        <v>148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8">
        <v>304</v>
      </c>
      <c r="O28" s="20"/>
      <c r="P28" s="40" t="s">
        <v>94</v>
      </c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149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8">
        <v>316</v>
      </c>
      <c r="O29" s="20"/>
      <c r="P29" s="40" t="s">
        <v>150</v>
      </c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151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28">
        <v>316</v>
      </c>
      <c r="O30" s="20"/>
      <c r="P30" s="40" t="s">
        <v>121</v>
      </c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 t="s">
        <v>152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28">
        <v>304</v>
      </c>
      <c r="O31" s="20"/>
      <c r="P31" s="40" t="s">
        <v>153</v>
      </c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154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28">
        <v>304</v>
      </c>
      <c r="O32" s="20"/>
      <c r="P32" s="40" t="s">
        <v>155</v>
      </c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156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8">
        <v>316</v>
      </c>
      <c r="O33" s="20"/>
      <c r="P33" s="40" t="s">
        <v>157</v>
      </c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9">
    <mergeCell ref="AG29:AJ29"/>
    <mergeCell ref="AK29:AN29"/>
    <mergeCell ref="A29:B29"/>
    <mergeCell ref="C29:M29"/>
    <mergeCell ref="N29:O29"/>
    <mergeCell ref="P29:T29"/>
    <mergeCell ref="U29:W29"/>
    <mergeCell ref="X29:AA29"/>
    <mergeCell ref="AB29:AF29"/>
    <mergeCell ref="AG28:AJ28"/>
    <mergeCell ref="AK28:AN28"/>
    <mergeCell ref="A28:B28"/>
    <mergeCell ref="C28:M28"/>
    <mergeCell ref="N28:O28"/>
    <mergeCell ref="P28:T28"/>
    <mergeCell ref="U28:W28"/>
    <mergeCell ref="X28:AA28"/>
    <mergeCell ref="AB28:AF28"/>
    <mergeCell ref="AG27:AJ27"/>
    <mergeCell ref="AK27:AN27"/>
    <mergeCell ref="A27:B27"/>
    <mergeCell ref="C27:M27"/>
    <mergeCell ref="N27:O27"/>
    <mergeCell ref="P27:T27"/>
    <mergeCell ref="U27:W27"/>
    <mergeCell ref="X27:AA27"/>
    <mergeCell ref="AB27:AF27"/>
    <mergeCell ref="AG26:AJ26"/>
    <mergeCell ref="AK26:AN26"/>
    <mergeCell ref="A26:B26"/>
    <mergeCell ref="C26:M26"/>
    <mergeCell ref="N26:O26"/>
    <mergeCell ref="P26:T26"/>
    <mergeCell ref="U26:W26"/>
    <mergeCell ref="X26:AA26"/>
    <mergeCell ref="AB26:AF26"/>
    <mergeCell ref="AG25:AJ25"/>
    <mergeCell ref="AK25:AN25"/>
    <mergeCell ref="A25:B25"/>
    <mergeCell ref="C25:M25"/>
    <mergeCell ref="N25:O25"/>
    <mergeCell ref="P25:T25"/>
    <mergeCell ref="U25:W25"/>
    <mergeCell ref="X25:AA25"/>
    <mergeCell ref="AB25:AF25"/>
    <mergeCell ref="A37:E37"/>
    <mergeCell ref="F37:AN37"/>
    <mergeCell ref="A38:E38"/>
    <mergeCell ref="F38:AN38"/>
    <mergeCell ref="A39:E39"/>
    <mergeCell ref="F39:AN39"/>
    <mergeCell ref="AG23:AJ23"/>
    <mergeCell ref="AK23:AN23"/>
    <mergeCell ref="A23:B23"/>
    <mergeCell ref="C23:M23"/>
    <mergeCell ref="N23:O23"/>
    <mergeCell ref="P23:T23"/>
    <mergeCell ref="U23:W23"/>
    <mergeCell ref="X23:AA23"/>
    <mergeCell ref="AB23:AF23"/>
    <mergeCell ref="AG24:AJ24"/>
    <mergeCell ref="AK24:AN24"/>
    <mergeCell ref="A24:B24"/>
    <mergeCell ref="C24:M24"/>
    <mergeCell ref="N24:O24"/>
    <mergeCell ref="P24:T24"/>
    <mergeCell ref="U24:W24"/>
    <mergeCell ref="X24:AA24"/>
    <mergeCell ref="AB24:AF24"/>
    <mergeCell ref="A36:E36"/>
    <mergeCell ref="F36:AN36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A34:B34"/>
    <mergeCell ref="N34:T34"/>
    <mergeCell ref="U34:W34"/>
    <mergeCell ref="X34:AA34"/>
    <mergeCell ref="AB34:AF34"/>
    <mergeCell ref="AG34:AJ34"/>
    <mergeCell ref="AK34:AN34"/>
    <mergeCell ref="C34:M34"/>
    <mergeCell ref="A35:AA35"/>
    <mergeCell ref="AB35:AF35"/>
    <mergeCell ref="AG35:AJ35"/>
    <mergeCell ref="AK35:AN35"/>
    <mergeCell ref="AG33:AJ33"/>
    <mergeCell ref="AK33:AN33"/>
    <mergeCell ref="A33:B33"/>
    <mergeCell ref="C33:M33"/>
    <mergeCell ref="N33:O33"/>
    <mergeCell ref="P33:T33"/>
    <mergeCell ref="U33:W33"/>
    <mergeCell ref="X33:AA33"/>
    <mergeCell ref="AB33:AF33"/>
    <mergeCell ref="AG32:AJ32"/>
    <mergeCell ref="AK32:AN32"/>
    <mergeCell ref="A32:B32"/>
    <mergeCell ref="C32:M32"/>
    <mergeCell ref="N32:O32"/>
    <mergeCell ref="P32:T32"/>
    <mergeCell ref="U32:W32"/>
    <mergeCell ref="X32:AA32"/>
    <mergeCell ref="AB32:AF32"/>
    <mergeCell ref="AG31:AJ31"/>
    <mergeCell ref="AK31:AN31"/>
    <mergeCell ref="A31:B31"/>
    <mergeCell ref="C31:M31"/>
    <mergeCell ref="N31:O31"/>
    <mergeCell ref="P31:T31"/>
    <mergeCell ref="U31:W31"/>
    <mergeCell ref="X31:AA31"/>
    <mergeCell ref="AB31:AF31"/>
    <mergeCell ref="B10:P10"/>
    <mergeCell ref="S10:V10"/>
    <mergeCell ref="W10:AC10"/>
    <mergeCell ref="AD10:AG10"/>
    <mergeCell ref="AG30:AJ30"/>
    <mergeCell ref="AK30:AN30"/>
    <mergeCell ref="A30:B30"/>
    <mergeCell ref="C30:M30"/>
    <mergeCell ref="N30:O30"/>
    <mergeCell ref="P30:T30"/>
    <mergeCell ref="U30:W30"/>
    <mergeCell ref="X30:AA30"/>
    <mergeCell ref="AB30:AF30"/>
    <mergeCell ref="X14:AA14"/>
    <mergeCell ref="AB14:AF14"/>
    <mergeCell ref="AG15:AJ15"/>
    <mergeCell ref="AK15:AN15"/>
    <mergeCell ref="A15:B15"/>
    <mergeCell ref="C15:M15"/>
    <mergeCell ref="N15:O15"/>
    <mergeCell ref="P15:T15"/>
    <mergeCell ref="U15:W15"/>
    <mergeCell ref="X15:AA15"/>
    <mergeCell ref="AB15:AF15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G22:AJ22"/>
    <mergeCell ref="AK22:AN22"/>
    <mergeCell ref="A22:B22"/>
    <mergeCell ref="C22:M22"/>
    <mergeCell ref="N22:O22"/>
    <mergeCell ref="P22:T22"/>
    <mergeCell ref="U22:W22"/>
    <mergeCell ref="X22:AA22"/>
    <mergeCell ref="AB22:AF22"/>
    <mergeCell ref="AG21:AJ21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G19:AJ19"/>
    <mergeCell ref="AK19:AN19"/>
    <mergeCell ref="A19:B19"/>
    <mergeCell ref="C19:M19"/>
    <mergeCell ref="N19:O19"/>
    <mergeCell ref="P19:T19"/>
    <mergeCell ref="U19:W19"/>
    <mergeCell ref="X19:AA19"/>
    <mergeCell ref="AB19:AF19"/>
    <mergeCell ref="AG18:AJ18"/>
    <mergeCell ref="AK18:AN18"/>
    <mergeCell ref="A18:B18"/>
    <mergeCell ref="C18:M18"/>
    <mergeCell ref="N18:O18"/>
    <mergeCell ref="P18:T18"/>
    <mergeCell ref="U18:W18"/>
    <mergeCell ref="X18:AA18"/>
    <mergeCell ref="AB18:AF18"/>
    <mergeCell ref="AG17:AJ17"/>
    <mergeCell ref="AK17:AN17"/>
    <mergeCell ref="A17:B17"/>
    <mergeCell ref="C17:M17"/>
    <mergeCell ref="N17:O17"/>
    <mergeCell ref="P17:T17"/>
    <mergeCell ref="U17:W17"/>
    <mergeCell ref="X17:AA17"/>
    <mergeCell ref="AB17:AF17"/>
    <mergeCell ref="AG16:AJ16"/>
    <mergeCell ref="AK16:AN16"/>
    <mergeCell ref="A16:B16"/>
    <mergeCell ref="C16:M16"/>
    <mergeCell ref="N16:O16"/>
    <mergeCell ref="P16:T16"/>
    <mergeCell ref="U16:W16"/>
    <mergeCell ref="X16:AA16"/>
    <mergeCell ref="AB16:AF16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1000"/>
  <sheetViews>
    <sheetView showGridLines="0" tabSelected="1" workbookViewId="0">
      <selection activeCell="U18" sqref="U18:W18"/>
    </sheetView>
  </sheetViews>
  <sheetFormatPr defaultColWidth="14.42578125" defaultRowHeight="15" customHeight="1"/>
  <cols>
    <col min="1" max="41" width="2.140625" customWidth="1"/>
  </cols>
  <sheetData>
    <row r="1" spans="1:41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"/>
    </row>
    <row r="2" spans="1:41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"/>
    </row>
    <row r="3" spans="1:41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41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S4" s="13" t="s">
        <v>493</v>
      </c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9"/>
    </row>
    <row r="5" spans="1:41" ht="19.5" customHeight="1">
      <c r="A5" s="2"/>
      <c r="B5" s="15" t="s">
        <v>2</v>
      </c>
      <c r="C5" s="12"/>
      <c r="D5" s="12"/>
      <c r="E5" s="12"/>
      <c r="F5" s="16">
        <f ca="1">TODAY()</f>
        <v>46113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2"/>
      <c r="R5" s="17"/>
      <c r="S5" s="24" t="s">
        <v>4</v>
      </c>
      <c r="T5" s="20"/>
      <c r="U5" s="20"/>
      <c r="V5" s="21"/>
      <c r="W5" s="19" t="s">
        <v>5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1"/>
      <c r="AO5" s="10"/>
    </row>
    <row r="6" spans="1:41" ht="19.5" customHeight="1">
      <c r="A6" s="2"/>
      <c r="B6" s="22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"/>
      <c r="P6" s="2"/>
      <c r="Q6" s="2"/>
      <c r="R6" s="18"/>
      <c r="S6" s="24" t="s">
        <v>7</v>
      </c>
      <c r="T6" s="20"/>
      <c r="U6" s="20"/>
      <c r="V6" s="21"/>
      <c r="W6" s="19" t="s">
        <v>8</v>
      </c>
      <c r="X6" s="20"/>
      <c r="Y6" s="20"/>
      <c r="Z6" s="20"/>
      <c r="AA6" s="20"/>
      <c r="AB6" s="20"/>
      <c r="AC6" s="21"/>
      <c r="AD6" s="24" t="s">
        <v>9</v>
      </c>
      <c r="AE6" s="20"/>
      <c r="AF6" s="20"/>
      <c r="AG6" s="21"/>
      <c r="AH6" s="19" t="s">
        <v>10</v>
      </c>
      <c r="AI6" s="20"/>
      <c r="AJ6" s="20"/>
      <c r="AK6" s="20"/>
      <c r="AL6" s="20"/>
      <c r="AM6" s="20"/>
      <c r="AN6" s="21"/>
      <c r="AO6" s="10"/>
    </row>
    <row r="7" spans="1:41" ht="19.5" customHeight="1">
      <c r="A7" s="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23" t="s">
        <v>11</v>
      </c>
      <c r="P7" s="14"/>
      <c r="Q7" s="2"/>
      <c r="R7" s="18"/>
      <c r="S7" s="24" t="s">
        <v>12</v>
      </c>
      <c r="T7" s="20"/>
      <c r="U7" s="20"/>
      <c r="V7" s="21"/>
      <c r="W7" s="19" t="s">
        <v>158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1"/>
      <c r="AO7" s="10"/>
    </row>
    <row r="8" spans="1:41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18"/>
      <c r="S8" s="24" t="s">
        <v>14</v>
      </c>
      <c r="T8" s="20"/>
      <c r="U8" s="20"/>
      <c r="V8" s="21"/>
      <c r="W8" s="19" t="s">
        <v>15</v>
      </c>
      <c r="X8" s="20"/>
      <c r="Y8" s="20"/>
      <c r="Z8" s="20"/>
      <c r="AA8" s="20"/>
      <c r="AB8" s="20"/>
      <c r="AC8" s="21"/>
      <c r="AD8" s="24" t="s">
        <v>16</v>
      </c>
      <c r="AE8" s="20"/>
      <c r="AF8" s="20"/>
      <c r="AG8" s="21"/>
      <c r="AH8" s="19" t="s">
        <v>17</v>
      </c>
      <c r="AI8" s="20"/>
      <c r="AJ8" s="20"/>
      <c r="AK8" s="20"/>
      <c r="AL8" s="20"/>
      <c r="AM8" s="20"/>
      <c r="AN8" s="21"/>
      <c r="AO8" s="10"/>
    </row>
    <row r="9" spans="1:41" ht="19.5" customHeight="1">
      <c r="A9" s="2"/>
      <c r="B9" s="15" t="s">
        <v>18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"/>
      <c r="R9" s="18"/>
      <c r="S9" s="24" t="s">
        <v>19</v>
      </c>
      <c r="T9" s="20"/>
      <c r="U9" s="20"/>
      <c r="V9" s="21"/>
      <c r="W9" s="19" t="s">
        <v>20</v>
      </c>
      <c r="X9" s="20"/>
      <c r="Y9" s="20"/>
      <c r="Z9" s="20"/>
      <c r="AA9" s="20"/>
      <c r="AB9" s="20"/>
      <c r="AC9" s="21"/>
      <c r="AD9" s="24" t="s">
        <v>21</v>
      </c>
      <c r="AE9" s="20"/>
      <c r="AF9" s="20"/>
      <c r="AG9" s="21"/>
      <c r="AH9" s="19" t="s">
        <v>22</v>
      </c>
      <c r="AI9" s="20"/>
      <c r="AJ9" s="20"/>
      <c r="AK9" s="20"/>
      <c r="AL9" s="20"/>
      <c r="AM9" s="20"/>
      <c r="AN9" s="21"/>
      <c r="AO9" s="10"/>
    </row>
    <row r="10" spans="1:41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</row>
    <row r="11" spans="1:41" ht="19.5" customHeight="1">
      <c r="A11" s="22" t="s">
        <v>23</v>
      </c>
      <c r="B11" s="12"/>
      <c r="C11" s="12"/>
      <c r="D11" s="12"/>
      <c r="E11" s="12"/>
      <c r="F11" s="26" t="str">
        <f>IF(ISERROR((NUMBERSTRING(X11,1))),"",(NUMBERSTRING(X11,1)))</f>
        <v/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2" t="s">
        <v>24</v>
      </c>
      <c r="V11" s="12"/>
      <c r="W11" s="22" t="s">
        <v>25</v>
      </c>
      <c r="X11" s="27" t="str">
        <f>IF(SUM(AB14:AJ33)=0,"",SUM(AB14:AJ33))</f>
        <v/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22" t="s">
        <v>26</v>
      </c>
      <c r="AN11" s="4"/>
      <c r="AO11" s="4"/>
    </row>
    <row r="12" spans="1:41" ht="19.5" customHeight="1">
      <c r="A12" s="12"/>
      <c r="B12" s="12"/>
      <c r="C12" s="12"/>
      <c r="D12" s="12"/>
      <c r="E12" s="1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5"/>
      <c r="AO12" s="4"/>
    </row>
    <row r="13" spans="1:41" ht="19.5" customHeight="1">
      <c r="A13" s="24" t="s">
        <v>27</v>
      </c>
      <c r="B13" s="21"/>
      <c r="C13" s="24" t="s">
        <v>28</v>
      </c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24" t="s">
        <v>29</v>
      </c>
      <c r="O13" s="20"/>
      <c r="P13" s="20"/>
      <c r="Q13" s="20"/>
      <c r="R13" s="20"/>
      <c r="S13" s="20"/>
      <c r="T13" s="21"/>
      <c r="U13" s="24" t="s">
        <v>30</v>
      </c>
      <c r="V13" s="20"/>
      <c r="W13" s="21"/>
      <c r="X13" s="24" t="s">
        <v>31</v>
      </c>
      <c r="Y13" s="20"/>
      <c r="Z13" s="20"/>
      <c r="AA13" s="21"/>
      <c r="AB13" s="24" t="s">
        <v>32</v>
      </c>
      <c r="AC13" s="20"/>
      <c r="AD13" s="20"/>
      <c r="AE13" s="20"/>
      <c r="AF13" s="21"/>
      <c r="AG13" s="24" t="s">
        <v>33</v>
      </c>
      <c r="AH13" s="20"/>
      <c r="AI13" s="20"/>
      <c r="AJ13" s="21"/>
      <c r="AK13" s="24" t="s">
        <v>34</v>
      </c>
      <c r="AL13" s="20"/>
      <c r="AM13" s="20"/>
      <c r="AN13" s="21"/>
      <c r="AO13" s="10"/>
    </row>
    <row r="14" spans="1:41" ht="19.5" customHeight="1">
      <c r="A14" s="19">
        <v>1</v>
      </c>
      <c r="B14" s="21"/>
      <c r="C14" s="28" t="s">
        <v>486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19" t="s">
        <v>266</v>
      </c>
      <c r="O14" s="20"/>
      <c r="P14" s="20"/>
      <c r="Q14" s="20"/>
      <c r="R14" s="20"/>
      <c r="S14" s="20"/>
      <c r="T14" s="21"/>
      <c r="U14" s="30">
        <v>200</v>
      </c>
      <c r="V14" s="20"/>
      <c r="W14" s="21"/>
      <c r="X14" s="25"/>
      <c r="Y14" s="20"/>
      <c r="Z14" s="20"/>
      <c r="AA14" s="21"/>
      <c r="AB14" s="25"/>
      <c r="AC14" s="20"/>
      <c r="AD14" s="20"/>
      <c r="AE14" s="20"/>
      <c r="AF14" s="21"/>
      <c r="AG14" s="25"/>
      <c r="AH14" s="20"/>
      <c r="AI14" s="20"/>
      <c r="AJ14" s="21"/>
      <c r="AK14" s="19"/>
      <c r="AL14" s="20"/>
      <c r="AM14" s="20"/>
      <c r="AN14" s="21"/>
      <c r="AO14" s="10"/>
    </row>
    <row r="15" spans="1:41" ht="19.5" customHeight="1">
      <c r="A15" s="19">
        <v>2</v>
      </c>
      <c r="B15" s="21"/>
      <c r="C15" s="28" t="s">
        <v>201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202</v>
      </c>
      <c r="O15" s="20"/>
      <c r="P15" s="20"/>
      <c r="Q15" s="20"/>
      <c r="R15" s="20"/>
      <c r="S15" s="20"/>
      <c r="T15" s="21"/>
      <c r="U15" s="30">
        <v>300</v>
      </c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  <c r="AO15" s="10"/>
    </row>
    <row r="16" spans="1:41" ht="19.5" customHeight="1">
      <c r="A16" s="19">
        <v>3</v>
      </c>
      <c r="B16" s="21"/>
      <c r="C16" s="28" t="s">
        <v>144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28">
        <v>316</v>
      </c>
      <c r="O16" s="20"/>
      <c r="P16" s="40" t="s">
        <v>78</v>
      </c>
      <c r="Q16" s="20"/>
      <c r="R16" s="20"/>
      <c r="S16" s="20"/>
      <c r="T16" s="21"/>
      <c r="U16" s="30">
        <v>15</v>
      </c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/>
      <c r="AL16" s="20"/>
      <c r="AM16" s="20"/>
      <c r="AN16" s="21"/>
      <c r="AO16" s="10"/>
    </row>
    <row r="17" spans="1:41" ht="19.5" customHeight="1">
      <c r="A17" s="19">
        <v>4</v>
      </c>
      <c r="B17" s="21"/>
      <c r="C17" s="28" t="s">
        <v>144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28">
        <v>304</v>
      </c>
      <c r="O17" s="20"/>
      <c r="P17" s="40" t="s">
        <v>78</v>
      </c>
      <c r="Q17" s="20"/>
      <c r="R17" s="20"/>
      <c r="S17" s="20"/>
      <c r="T17" s="21"/>
      <c r="U17" s="30">
        <v>37</v>
      </c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/>
      <c r="AL17" s="20"/>
      <c r="AM17" s="20"/>
      <c r="AN17" s="21"/>
      <c r="AO17" s="10"/>
    </row>
    <row r="18" spans="1:41" ht="19.5" customHeight="1">
      <c r="A18" s="19">
        <v>5</v>
      </c>
      <c r="B18" s="21"/>
      <c r="C18" s="28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28"/>
      <c r="O18" s="20"/>
      <c r="P18" s="4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/>
      <c r="AL18" s="20"/>
      <c r="AM18" s="20"/>
      <c r="AN18" s="21"/>
      <c r="AO18" s="10"/>
    </row>
    <row r="19" spans="1:41" ht="19.5" customHeight="1">
      <c r="A19" s="19">
        <v>6</v>
      </c>
      <c r="B19" s="21"/>
      <c r="C19" s="28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28"/>
      <c r="O19" s="20"/>
      <c r="P19" s="4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  <c r="AO19" s="10"/>
    </row>
    <row r="20" spans="1:41" ht="19.5" customHeight="1">
      <c r="A20" s="19">
        <v>7</v>
      </c>
      <c r="B20" s="21"/>
      <c r="C20" s="28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/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  <c r="AO20" s="10"/>
    </row>
    <row r="21" spans="1:41" ht="19.5" customHeight="1">
      <c r="A21" s="19">
        <v>8</v>
      </c>
      <c r="B21" s="21"/>
      <c r="C21" s="28"/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/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/>
      <c r="AL21" s="20"/>
      <c r="AM21" s="20"/>
      <c r="AN21" s="21"/>
      <c r="AO21" s="10"/>
    </row>
    <row r="22" spans="1:41" ht="19.5" customHeight="1">
      <c r="A22" s="19">
        <v>9</v>
      </c>
      <c r="B22" s="21"/>
      <c r="C22" s="28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/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  <c r="AO22" s="10"/>
    </row>
    <row r="23" spans="1:41" ht="19.5" customHeight="1">
      <c r="A23" s="19">
        <v>10</v>
      </c>
      <c r="B23" s="21"/>
      <c r="C23" s="28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/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  <c r="AO23" s="10"/>
    </row>
    <row r="24" spans="1:41" ht="19.5" customHeight="1">
      <c r="A24" s="19">
        <v>11</v>
      </c>
      <c r="B24" s="21"/>
      <c r="C24" s="28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/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  <c r="AO24" s="10"/>
    </row>
    <row r="25" spans="1:41" ht="19.5" customHeight="1">
      <c r="A25" s="19">
        <v>12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/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  <c r="AO25" s="10"/>
    </row>
    <row r="26" spans="1:41" ht="19.5" customHeight="1">
      <c r="A26" s="19">
        <v>13</v>
      </c>
      <c r="B26" s="21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/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  <c r="AO26" s="10"/>
    </row>
    <row r="27" spans="1:41" ht="19.5" customHeight="1">
      <c r="A27" s="19">
        <v>14</v>
      </c>
      <c r="B27" s="21"/>
      <c r="C27" s="28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/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/>
      <c r="AL27" s="20"/>
      <c r="AM27" s="20"/>
      <c r="AN27" s="21"/>
      <c r="AO27" s="10"/>
    </row>
    <row r="28" spans="1:41" ht="19.5" customHeight="1">
      <c r="A28" s="19">
        <v>15</v>
      </c>
      <c r="B28" s="21"/>
      <c r="C28" s="28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/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  <c r="AO28" s="10"/>
    </row>
    <row r="29" spans="1:41" ht="19.5" customHeight="1">
      <c r="A29" s="19">
        <v>16</v>
      </c>
      <c r="B29" s="21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/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/>
      <c r="AL29" s="20"/>
      <c r="AM29" s="20"/>
      <c r="AN29" s="21"/>
      <c r="AO29" s="10"/>
    </row>
    <row r="30" spans="1:41" ht="19.5" customHeight="1">
      <c r="A30" s="19">
        <v>17</v>
      </c>
      <c r="B30" s="21"/>
      <c r="C30" s="28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/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ref="AB30:AB33" si="0">IF(U30*X30&lt;=0,"",U30*X30)</f>
        <v/>
      </c>
      <c r="AC30" s="20"/>
      <c r="AD30" s="20"/>
      <c r="AE30" s="20"/>
      <c r="AF30" s="21"/>
      <c r="AG30" s="25" t="str">
        <f t="shared" ref="AG30:AG34" si="1">IF(AB30="","",AB30*0.1)</f>
        <v/>
      </c>
      <c r="AH30" s="20"/>
      <c r="AI30" s="20"/>
      <c r="AJ30" s="21"/>
      <c r="AK30" s="19"/>
      <c r="AL30" s="20"/>
      <c r="AM30" s="20"/>
      <c r="AN30" s="21"/>
      <c r="AO30" s="10"/>
    </row>
    <row r="31" spans="1:41" ht="19.5" customHeight="1">
      <c r="A31" s="19">
        <v>18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  <c r="AO31" s="10"/>
    </row>
    <row r="32" spans="1:41" ht="19.5" customHeight="1">
      <c r="A32" s="19">
        <v>19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  <c r="AO32" s="10"/>
    </row>
    <row r="33" spans="1:41" ht="19.5" customHeight="1">
      <c r="A33" s="19">
        <v>20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28"/>
      <c r="O33" s="20"/>
      <c r="P33" s="4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  <c r="AO33" s="10"/>
    </row>
    <row r="34" spans="1:41" ht="19.5" customHeight="1">
      <c r="A34" s="24" t="s">
        <v>54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  <c r="AB34" s="25" t="str">
        <f>IF(SUM(AB14:AF33)&lt;=0,"",SUM(AB14:AF33))</f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  <c r="AO34" s="10"/>
    </row>
    <row r="35" spans="1:41" ht="19.5" customHeight="1">
      <c r="A35" s="38" t="s">
        <v>55</v>
      </c>
      <c r="B35" s="36"/>
      <c r="C35" s="36"/>
      <c r="D35" s="36"/>
      <c r="E35" s="36"/>
      <c r="F35" s="35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7"/>
      <c r="AO35" s="9"/>
    </row>
    <row r="36" spans="1:41" ht="19.5" customHeight="1">
      <c r="A36" s="39" t="s">
        <v>56</v>
      </c>
      <c r="B36" s="12"/>
      <c r="C36" s="12"/>
      <c r="D36" s="12"/>
      <c r="E36" s="12"/>
      <c r="F36" s="34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8"/>
      <c r="AO36" s="10"/>
    </row>
    <row r="37" spans="1:41" ht="19.5" customHeight="1">
      <c r="A37" s="39" t="s">
        <v>57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  <c r="AO37" s="3"/>
    </row>
    <row r="38" spans="1:41" ht="19.5" customHeight="1">
      <c r="A38" s="31" t="s">
        <v>58</v>
      </c>
      <c r="B38" s="14"/>
      <c r="C38" s="14"/>
      <c r="D38" s="14"/>
      <c r="E38" s="14"/>
      <c r="F38" s="32" t="s">
        <v>59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3"/>
      <c r="AO38" s="3"/>
    </row>
    <row r="39" spans="1:41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</row>
    <row r="40" spans="1:41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</row>
    <row r="41" spans="1:41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</row>
    <row r="42" spans="1:41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</row>
    <row r="43" spans="1:41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</row>
    <row r="44" spans="1:41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</row>
    <row r="45" spans="1:41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</row>
    <row r="46" spans="1:41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</row>
    <row r="47" spans="1:41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</row>
    <row r="48" spans="1:41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</row>
    <row r="49" spans="1:41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  <row r="50" spans="1:41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</row>
    <row r="51" spans="1:41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</row>
    <row r="52" spans="1:41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</row>
    <row r="53" spans="1:41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</row>
    <row r="54" spans="1:41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</row>
    <row r="55" spans="1:41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</row>
    <row r="56" spans="1:41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</row>
    <row r="57" spans="1:41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</row>
    <row r="58" spans="1:41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</row>
    <row r="59" spans="1:41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</row>
    <row r="60" spans="1:41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</row>
    <row r="61" spans="1:41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</row>
    <row r="62" spans="1:41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</row>
    <row r="63" spans="1:41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</row>
    <row r="64" spans="1:41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</row>
    <row r="65" spans="1:41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</row>
    <row r="66" spans="1:41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</row>
    <row r="67" spans="1:41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</row>
    <row r="68" spans="1:41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</row>
    <row r="69" spans="1:41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</row>
    <row r="70" spans="1:41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</row>
    <row r="71" spans="1:41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</row>
    <row r="72" spans="1:41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</row>
    <row r="73" spans="1:41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</row>
    <row r="74" spans="1:41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</row>
    <row r="75" spans="1:41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</row>
    <row r="76" spans="1:41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</row>
    <row r="77" spans="1:41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</row>
    <row r="78" spans="1:41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</row>
    <row r="79" spans="1:41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</row>
    <row r="80" spans="1:41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</row>
    <row r="81" spans="1:41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</row>
    <row r="82" spans="1:41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</row>
    <row r="83" spans="1:41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</row>
    <row r="84" spans="1:41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</row>
    <row r="85" spans="1:41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</row>
    <row r="86" spans="1:41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</row>
    <row r="87" spans="1:41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</row>
    <row r="88" spans="1:41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</row>
    <row r="89" spans="1:41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</row>
    <row r="90" spans="1:41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</row>
    <row r="91" spans="1:41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</row>
    <row r="92" spans="1:41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</row>
    <row r="93" spans="1:41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</row>
    <row r="94" spans="1:41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</row>
    <row r="95" spans="1:41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</row>
    <row r="96" spans="1:41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</row>
    <row r="97" spans="1:41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</row>
    <row r="98" spans="1:41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</row>
    <row r="99" spans="1:41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</row>
    <row r="100" spans="1:41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</row>
    <row r="101" spans="1:41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</row>
    <row r="102" spans="1:41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</row>
    <row r="103" spans="1:41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</row>
    <row r="104" spans="1:41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</row>
    <row r="105" spans="1:41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</row>
    <row r="106" spans="1:41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</row>
    <row r="107" spans="1:41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</row>
    <row r="108" spans="1:41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</row>
    <row r="109" spans="1:41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</row>
    <row r="110" spans="1:41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</row>
    <row r="111" spans="1:41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</row>
    <row r="112" spans="1:41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</row>
    <row r="113" spans="1:41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</row>
    <row r="114" spans="1:41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</row>
    <row r="115" spans="1:41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</row>
    <row r="116" spans="1:41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</row>
    <row r="117" spans="1:41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</row>
    <row r="118" spans="1:41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</row>
    <row r="119" spans="1:41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</row>
    <row r="120" spans="1:41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</row>
    <row r="121" spans="1:41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</row>
    <row r="122" spans="1:41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</row>
    <row r="123" spans="1:41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</row>
    <row r="124" spans="1:41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</row>
    <row r="125" spans="1:41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</row>
    <row r="126" spans="1:41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</row>
    <row r="127" spans="1:41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</row>
    <row r="128" spans="1:41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</row>
    <row r="129" spans="1:41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</row>
    <row r="130" spans="1:41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</row>
    <row r="131" spans="1:41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</row>
    <row r="132" spans="1:41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</row>
    <row r="133" spans="1:41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</row>
    <row r="134" spans="1:41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</row>
    <row r="135" spans="1:41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</row>
    <row r="136" spans="1:41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</row>
    <row r="137" spans="1:41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</row>
    <row r="138" spans="1:41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</row>
    <row r="139" spans="1:41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</row>
    <row r="140" spans="1:41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</row>
    <row r="141" spans="1:41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</row>
    <row r="142" spans="1:41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</row>
    <row r="143" spans="1:41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</row>
    <row r="144" spans="1:41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</row>
    <row r="145" spans="1:41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</row>
    <row r="146" spans="1:41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</row>
    <row r="147" spans="1:41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</row>
    <row r="148" spans="1:41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</row>
    <row r="149" spans="1:41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</row>
    <row r="150" spans="1:41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</row>
    <row r="151" spans="1:41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</row>
    <row r="152" spans="1:41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</row>
    <row r="153" spans="1:41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</row>
    <row r="154" spans="1:41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</row>
    <row r="155" spans="1:41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</row>
    <row r="156" spans="1:41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</row>
    <row r="157" spans="1:41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</row>
    <row r="158" spans="1:41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</row>
    <row r="159" spans="1:41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</row>
    <row r="160" spans="1:41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</row>
    <row r="161" spans="1:41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</row>
    <row r="162" spans="1:41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</row>
    <row r="163" spans="1:41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</row>
    <row r="164" spans="1:41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</row>
    <row r="165" spans="1:41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</row>
    <row r="166" spans="1:41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</row>
    <row r="167" spans="1:41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</row>
    <row r="168" spans="1:41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</row>
    <row r="169" spans="1:41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</row>
    <row r="170" spans="1:41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</row>
    <row r="171" spans="1:41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</row>
    <row r="172" spans="1:41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</row>
    <row r="173" spans="1:41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</row>
    <row r="174" spans="1:41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</row>
    <row r="175" spans="1:41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</row>
    <row r="176" spans="1:41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</row>
    <row r="177" spans="1:41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</row>
    <row r="178" spans="1:41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</row>
    <row r="179" spans="1:41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</row>
    <row r="180" spans="1:41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</row>
    <row r="181" spans="1:41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</row>
    <row r="182" spans="1:41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</row>
    <row r="183" spans="1:41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</row>
    <row r="184" spans="1:41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</row>
    <row r="185" spans="1:41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</row>
    <row r="186" spans="1:41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</row>
    <row r="187" spans="1:41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</row>
    <row r="188" spans="1:41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</row>
    <row r="189" spans="1:41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</row>
    <row r="190" spans="1:41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</row>
    <row r="191" spans="1:41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</row>
    <row r="192" spans="1:41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</row>
    <row r="193" spans="1:41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</row>
    <row r="194" spans="1:41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</row>
    <row r="195" spans="1:41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</row>
    <row r="196" spans="1:41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</row>
    <row r="197" spans="1:41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</row>
    <row r="198" spans="1:41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</row>
    <row r="199" spans="1:41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</row>
    <row r="200" spans="1:41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</row>
    <row r="201" spans="1:41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</row>
    <row r="202" spans="1:41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</row>
    <row r="203" spans="1:41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</row>
    <row r="204" spans="1:41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</row>
    <row r="205" spans="1:41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</row>
    <row r="206" spans="1:41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</row>
    <row r="207" spans="1:41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</row>
    <row r="208" spans="1:41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</row>
    <row r="209" spans="1:41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</row>
    <row r="210" spans="1:41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</row>
    <row r="211" spans="1:41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</row>
    <row r="212" spans="1:41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</row>
    <row r="213" spans="1:41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</row>
    <row r="214" spans="1:41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</row>
    <row r="215" spans="1:41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</row>
    <row r="216" spans="1:41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</row>
    <row r="217" spans="1:41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</row>
    <row r="218" spans="1:41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</row>
    <row r="219" spans="1:41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</row>
    <row r="220" spans="1:41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</row>
    <row r="221" spans="1:41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</row>
    <row r="222" spans="1:41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</row>
    <row r="223" spans="1:41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</row>
    <row r="224" spans="1:41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</row>
    <row r="225" spans="1:41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</row>
    <row r="226" spans="1:41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</row>
    <row r="227" spans="1:41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</row>
    <row r="228" spans="1:41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</row>
    <row r="229" spans="1:41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</row>
    <row r="230" spans="1:41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</row>
    <row r="231" spans="1:41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</row>
    <row r="232" spans="1:41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</row>
    <row r="233" spans="1:41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</row>
    <row r="234" spans="1:41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</row>
    <row r="235" spans="1:41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</row>
    <row r="236" spans="1:41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</row>
    <row r="237" spans="1:41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</row>
    <row r="238" spans="1:41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</row>
    <row r="239" spans="1:41" ht="15.75" customHeight="1"/>
    <row r="240" spans="1:41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5">
    <mergeCell ref="U23:W23"/>
    <mergeCell ref="X23:AA23"/>
    <mergeCell ref="N16:O16"/>
    <mergeCell ref="P16:T16"/>
    <mergeCell ref="N17:O17"/>
    <mergeCell ref="P17:T17"/>
    <mergeCell ref="AK31:AN31"/>
    <mergeCell ref="A32:B32"/>
    <mergeCell ref="C32:M32"/>
    <mergeCell ref="U32:W32"/>
    <mergeCell ref="AG32:AJ32"/>
    <mergeCell ref="AK32:AN32"/>
    <mergeCell ref="X31:AA31"/>
    <mergeCell ref="AB31:AF31"/>
    <mergeCell ref="C31:M31"/>
    <mergeCell ref="U31:W31"/>
    <mergeCell ref="A31:B31"/>
    <mergeCell ref="N31:T31"/>
    <mergeCell ref="N32:T32"/>
    <mergeCell ref="X32:AA32"/>
    <mergeCell ref="AK29:AN29"/>
    <mergeCell ref="A30:B30"/>
    <mergeCell ref="C30:M30"/>
    <mergeCell ref="U30:W30"/>
    <mergeCell ref="X29:AA29"/>
    <mergeCell ref="AB29:AF29"/>
    <mergeCell ref="AG30:AJ30"/>
    <mergeCell ref="AK30:AN30"/>
    <mergeCell ref="A29:B29"/>
    <mergeCell ref="C29:M29"/>
    <mergeCell ref="N29:T29"/>
    <mergeCell ref="N30:T30"/>
    <mergeCell ref="U29:W29"/>
    <mergeCell ref="X30:AA30"/>
    <mergeCell ref="A33:B33"/>
    <mergeCell ref="C33:M33"/>
    <mergeCell ref="N33:O33"/>
    <mergeCell ref="P33:T33"/>
    <mergeCell ref="U33:W33"/>
    <mergeCell ref="A25:B25"/>
    <mergeCell ref="C25:M25"/>
    <mergeCell ref="AB30:AF30"/>
    <mergeCell ref="AG29:AJ29"/>
    <mergeCell ref="AB32:AF32"/>
    <mergeCell ref="AG31:AJ31"/>
    <mergeCell ref="U25:W25"/>
    <mergeCell ref="X25:AA25"/>
    <mergeCell ref="N28:T28"/>
    <mergeCell ref="U28:W28"/>
    <mergeCell ref="X28:AA28"/>
    <mergeCell ref="A24:B24"/>
    <mergeCell ref="C24:M24"/>
    <mergeCell ref="N24:T24"/>
    <mergeCell ref="U24:W24"/>
    <mergeCell ref="X24:AA24"/>
    <mergeCell ref="AG25:AJ25"/>
    <mergeCell ref="N25:T25"/>
    <mergeCell ref="AB18:AF18"/>
    <mergeCell ref="A38:E38"/>
    <mergeCell ref="F38:AN38"/>
    <mergeCell ref="F36:AN36"/>
    <mergeCell ref="F37:AN37"/>
    <mergeCell ref="AG33:AJ33"/>
    <mergeCell ref="AK33:AN33"/>
    <mergeCell ref="A34:AA34"/>
    <mergeCell ref="AB34:AF34"/>
    <mergeCell ref="AG34:AJ34"/>
    <mergeCell ref="AK34:AN34"/>
    <mergeCell ref="F35:AN35"/>
    <mergeCell ref="A35:E35"/>
    <mergeCell ref="A36:E36"/>
    <mergeCell ref="A37:E37"/>
    <mergeCell ref="X33:AA33"/>
    <mergeCell ref="AB33:AF33"/>
    <mergeCell ref="AK25:AN25"/>
    <mergeCell ref="AK24:AN24"/>
    <mergeCell ref="AB23:AF23"/>
    <mergeCell ref="AG23:AJ23"/>
    <mergeCell ref="AG20:AJ20"/>
    <mergeCell ref="AK20:AN20"/>
    <mergeCell ref="AB22:AF22"/>
    <mergeCell ref="AG22:AJ22"/>
    <mergeCell ref="AK22:AN22"/>
    <mergeCell ref="AK23:AN23"/>
    <mergeCell ref="AB20:AF20"/>
    <mergeCell ref="AB25:AF25"/>
    <mergeCell ref="AB24:AF24"/>
    <mergeCell ref="AG24:AJ24"/>
    <mergeCell ref="AG26:AJ26"/>
    <mergeCell ref="AK26:AN26"/>
    <mergeCell ref="A26:B26"/>
    <mergeCell ref="C26:M26"/>
    <mergeCell ref="U26:W26"/>
    <mergeCell ref="X26:AA26"/>
    <mergeCell ref="AB26:AF26"/>
    <mergeCell ref="AB27:AF27"/>
    <mergeCell ref="AG27:AJ27"/>
    <mergeCell ref="AK27:AN27"/>
    <mergeCell ref="N26:T26"/>
    <mergeCell ref="AK28:AN28"/>
    <mergeCell ref="A28:B28"/>
    <mergeCell ref="C28:M28"/>
    <mergeCell ref="AB28:AF28"/>
    <mergeCell ref="AG28:AJ28"/>
    <mergeCell ref="A14:B14"/>
    <mergeCell ref="A15:B15"/>
    <mergeCell ref="C15:M15"/>
    <mergeCell ref="U15:W15"/>
    <mergeCell ref="X15:AA15"/>
    <mergeCell ref="C14:M14"/>
    <mergeCell ref="U14:W14"/>
    <mergeCell ref="X14:AA14"/>
    <mergeCell ref="A27:B27"/>
    <mergeCell ref="C27:M27"/>
    <mergeCell ref="N27:T27"/>
    <mergeCell ref="U27:W27"/>
    <mergeCell ref="X27:AA27"/>
    <mergeCell ref="A17:B17"/>
    <mergeCell ref="C17:M17"/>
    <mergeCell ref="U17:W17"/>
    <mergeCell ref="C22:M22"/>
    <mergeCell ref="U22:W22"/>
    <mergeCell ref="X22:AA22"/>
    <mergeCell ref="AG16:AJ16"/>
    <mergeCell ref="AK16:AN16"/>
    <mergeCell ref="A16:B16"/>
    <mergeCell ref="C16:M16"/>
    <mergeCell ref="U16:W16"/>
    <mergeCell ref="X16:AA16"/>
    <mergeCell ref="AB16:AF16"/>
    <mergeCell ref="AG17:AJ17"/>
    <mergeCell ref="N20:T20"/>
    <mergeCell ref="U19:W19"/>
    <mergeCell ref="X19:AA19"/>
    <mergeCell ref="AB19:AF19"/>
    <mergeCell ref="C20:M20"/>
    <mergeCell ref="U20:W20"/>
    <mergeCell ref="X20:AA20"/>
    <mergeCell ref="AK17:AN17"/>
    <mergeCell ref="AB17:AF17"/>
    <mergeCell ref="X17:AA17"/>
    <mergeCell ref="N18:O18"/>
    <mergeCell ref="P18:T18"/>
    <mergeCell ref="N19:O19"/>
    <mergeCell ref="P19:T19"/>
    <mergeCell ref="A23:B23"/>
    <mergeCell ref="C23:M23"/>
    <mergeCell ref="AG18:AJ18"/>
    <mergeCell ref="AK18:AN18"/>
    <mergeCell ref="AG19:AJ19"/>
    <mergeCell ref="AK19:AN19"/>
    <mergeCell ref="A18:B18"/>
    <mergeCell ref="A19:B19"/>
    <mergeCell ref="C19:M19"/>
    <mergeCell ref="AG21:AJ21"/>
    <mergeCell ref="AK21:AN21"/>
    <mergeCell ref="A20:B20"/>
    <mergeCell ref="A21:B21"/>
    <mergeCell ref="C21:M21"/>
    <mergeCell ref="U21:W21"/>
    <mergeCell ref="X21:AA21"/>
    <mergeCell ref="AB21:AF21"/>
    <mergeCell ref="C18:M18"/>
    <mergeCell ref="U18:W18"/>
    <mergeCell ref="N23:T23"/>
    <mergeCell ref="A22:B22"/>
    <mergeCell ref="N21:T21"/>
    <mergeCell ref="N22:T22"/>
    <mergeCell ref="X18:AA18"/>
    <mergeCell ref="AB14:AF14"/>
    <mergeCell ref="AG14:AJ14"/>
    <mergeCell ref="AK14:AN14"/>
    <mergeCell ref="AG15:AJ15"/>
    <mergeCell ref="AK15:AN15"/>
    <mergeCell ref="N14:T14"/>
    <mergeCell ref="F11:T12"/>
    <mergeCell ref="U11:V12"/>
    <mergeCell ref="W11:W12"/>
    <mergeCell ref="X11:AL12"/>
    <mergeCell ref="AM11:AM12"/>
    <mergeCell ref="AG13:AJ13"/>
    <mergeCell ref="AK13:AN13"/>
    <mergeCell ref="AB15:AF15"/>
    <mergeCell ref="N15:T15"/>
    <mergeCell ref="A11:E12"/>
    <mergeCell ref="A13:B13"/>
    <mergeCell ref="C13:M13"/>
    <mergeCell ref="N13:T13"/>
    <mergeCell ref="U13:W13"/>
    <mergeCell ref="X13:AA13"/>
    <mergeCell ref="AB13:AF13"/>
    <mergeCell ref="B9:P9"/>
    <mergeCell ref="S9:V9"/>
    <mergeCell ref="W9:AC9"/>
    <mergeCell ref="AD9:AG9"/>
    <mergeCell ref="A1:AN2"/>
    <mergeCell ref="S4:AN4"/>
    <mergeCell ref="B5:E5"/>
    <mergeCell ref="F5:P5"/>
    <mergeCell ref="R5:R9"/>
    <mergeCell ref="W5:AN5"/>
    <mergeCell ref="AH6:AN6"/>
    <mergeCell ref="AH9:AN9"/>
    <mergeCell ref="B6:N7"/>
    <mergeCell ref="O7:P7"/>
    <mergeCell ref="S5:V5"/>
    <mergeCell ref="S6:V6"/>
    <mergeCell ref="W6:AC6"/>
    <mergeCell ref="AD6:AG6"/>
    <mergeCell ref="S7:V7"/>
    <mergeCell ref="W7:AN7"/>
    <mergeCell ref="S8:V8"/>
    <mergeCell ref="W8:AC8"/>
    <mergeCell ref="AD8:AG8"/>
    <mergeCell ref="AH8:AN8"/>
  </mergeCells>
  <phoneticPr fontId="8" type="noConversion"/>
  <printOptions horizontalCentered="1"/>
  <pageMargins left="0.39" right="0.39" top="0.59" bottom="0.39" header="0" footer="0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N1000"/>
  <sheetViews>
    <sheetView showGridLines="0" topLeftCell="A12" workbookViewId="0">
      <selection activeCell="C16" sqref="C16:T16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161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162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163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164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159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160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165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166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167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168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 t="s">
        <v>169</v>
      </c>
      <c r="AL19" s="20"/>
      <c r="AM19" s="20"/>
      <c r="AN19" s="21"/>
    </row>
    <row r="20" spans="1:40" ht="19.5" customHeight="1">
      <c r="A20" s="19">
        <v>6</v>
      </c>
      <c r="B20" s="21"/>
      <c r="C20" s="28" t="s">
        <v>170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171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172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173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174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175</v>
      </c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176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177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178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179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180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181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 t="s">
        <v>182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183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184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185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 t="s">
        <v>186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187</v>
      </c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188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189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190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191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 t="s">
        <v>192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193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194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195</v>
      </c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 t="s">
        <v>196</v>
      </c>
      <c r="AL32" s="20"/>
      <c r="AM32" s="20"/>
      <c r="AN32" s="21"/>
    </row>
    <row r="33" spans="1:40" ht="19.5" customHeight="1">
      <c r="A33" s="19">
        <v>19</v>
      </c>
      <c r="B33" s="21"/>
      <c r="C33" s="28" t="s">
        <v>197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198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 t="s">
        <v>169</v>
      </c>
      <c r="AL33" s="20"/>
      <c r="AM33" s="20"/>
      <c r="AN33" s="21"/>
    </row>
    <row r="34" spans="1:40" ht="19.5" customHeight="1">
      <c r="A34" s="19">
        <v>20</v>
      </c>
      <c r="B34" s="21"/>
      <c r="C34" s="28" t="s">
        <v>199</v>
      </c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 t="s">
        <v>200</v>
      </c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N1000"/>
  <sheetViews>
    <sheetView showGridLines="0" topLeftCell="A12" workbookViewId="0">
      <selection activeCell="C15" sqref="C15:T15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201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202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203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204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205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206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207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206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208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195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49" t="s">
        <v>209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210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211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212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213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214</v>
      </c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215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216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217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218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219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220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/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221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222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 t="s">
        <v>223</v>
      </c>
      <c r="AL27" s="20"/>
      <c r="AM27" s="20"/>
      <c r="AN27" s="21"/>
    </row>
    <row r="28" spans="1:40" ht="19.5" customHeight="1">
      <c r="A28" s="19">
        <v>14</v>
      </c>
      <c r="B28" s="21"/>
      <c r="C28" s="28" t="s">
        <v>224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225</v>
      </c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/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226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227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/>
      <c r="AC30" s="20"/>
      <c r="AD30" s="20"/>
      <c r="AE30" s="20"/>
      <c r="AF30" s="21"/>
      <c r="AG30" s="25"/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 t="s">
        <v>228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229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/>
      <c r="AC31" s="20"/>
      <c r="AD31" s="20"/>
      <c r="AE31" s="20"/>
      <c r="AF31" s="21"/>
      <c r="AG31" s="25"/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/>
      <c r="AC32" s="20"/>
      <c r="AD32" s="20"/>
      <c r="AE32" s="20"/>
      <c r="AF32" s="21"/>
      <c r="AG32" s="25"/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230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231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/>
      <c r="AC33" s="20"/>
      <c r="AD33" s="20"/>
      <c r="AE33" s="20"/>
      <c r="AF33" s="21"/>
      <c r="AG33" s="25"/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/>
      <c r="AC34" s="20"/>
      <c r="AD34" s="20"/>
      <c r="AE34" s="20"/>
      <c r="AF34" s="21"/>
      <c r="AG34" s="25"/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>IF(AB35="","",AB35*0.1)</f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N1000"/>
  <sheetViews>
    <sheetView showGridLines="0" topLeftCell="A10" workbookViewId="0">
      <selection activeCell="C32" sqref="C32:T32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232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233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234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235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236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237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238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239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/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28" t="s">
        <v>240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241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242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243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/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244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245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246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202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/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 t="s">
        <v>247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248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249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250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 t="s">
        <v>251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252</v>
      </c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253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254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255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256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/>
      <c r="AC30" s="20"/>
      <c r="AD30" s="20"/>
      <c r="AE30" s="20"/>
      <c r="AF30" s="21"/>
      <c r="AG30" s="25"/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 t="s">
        <v>257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258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/>
      <c r="AC31" s="20"/>
      <c r="AD31" s="20"/>
      <c r="AE31" s="20"/>
      <c r="AF31" s="21"/>
      <c r="AG31" s="25"/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259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260</v>
      </c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/>
      <c r="AC32" s="20"/>
      <c r="AD32" s="20"/>
      <c r="AE32" s="20"/>
      <c r="AF32" s="21"/>
      <c r="AG32" s="25"/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261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262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/>
      <c r="AC33" s="20"/>
      <c r="AD33" s="20"/>
      <c r="AE33" s="20"/>
      <c r="AF33" s="21"/>
      <c r="AG33" s="25"/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 t="s">
        <v>263</v>
      </c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 t="s">
        <v>264</v>
      </c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/>
      <c r="AC34" s="20"/>
      <c r="AD34" s="20"/>
      <c r="AE34" s="20"/>
      <c r="AF34" s="21"/>
      <c r="AG34" s="25"/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>IF(AB35="","",AB35*0.1)</f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N1000"/>
  <sheetViews>
    <sheetView showGridLines="0" topLeftCell="A8" workbookViewId="0">
      <selection activeCell="C17" sqref="C17:T17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60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265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488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/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/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486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266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487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489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28" t="s">
        <v>490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491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28" t="s">
        <v>267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268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269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270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271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272</v>
      </c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273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274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275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276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277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278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 t="s">
        <v>279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280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281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282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/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28" t="s">
        <v>283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284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28" t="s">
        <v>285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284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/>
      <c r="AC30" s="20"/>
      <c r="AD30" s="20"/>
      <c r="AE30" s="20"/>
      <c r="AF30" s="21"/>
      <c r="AG30" s="25"/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 t="s">
        <v>286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287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/>
      <c r="AC31" s="20"/>
      <c r="AD31" s="20"/>
      <c r="AE31" s="20"/>
      <c r="AF31" s="21"/>
      <c r="AG31" s="25"/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288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289</v>
      </c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/>
      <c r="AC32" s="20"/>
      <c r="AD32" s="20"/>
      <c r="AE32" s="20"/>
      <c r="AF32" s="21"/>
      <c r="AG32" s="25"/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290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291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/>
      <c r="AC33" s="20"/>
      <c r="AD33" s="20"/>
      <c r="AE33" s="20"/>
      <c r="AF33" s="21"/>
      <c r="AG33" s="25"/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/>
      <c r="AC34" s="20"/>
      <c r="AD34" s="20"/>
      <c r="AE34" s="20"/>
      <c r="AF34" s="21"/>
      <c r="AG34" s="25"/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>IF(AB35="","",AB35*0.1)</f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N1000"/>
  <sheetViews>
    <sheetView showGridLines="0" topLeftCell="A3" workbookViewId="0">
      <selection activeCell="AK18" sqref="AK18:AN18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292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49" t="s">
        <v>293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294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34" si="0">IF(U15*X15&lt;=0,"",U15*X15)</f>
        <v/>
      </c>
      <c r="AC15" s="20"/>
      <c r="AD15" s="20"/>
      <c r="AE15" s="20"/>
      <c r="AF15" s="21"/>
      <c r="AG15" s="25" t="str">
        <f t="shared" ref="AG15:AG35" si="1">IF(AB15="","",AB15*0.1)</f>
        <v/>
      </c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295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296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50" t="s">
        <v>297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51" t="s">
        <v>298</v>
      </c>
      <c r="O17" s="20"/>
      <c r="P17" s="20"/>
      <c r="Q17" s="20"/>
      <c r="R17" s="20"/>
      <c r="S17" s="20"/>
      <c r="T17" s="21"/>
      <c r="U17" s="52"/>
      <c r="V17" s="20"/>
      <c r="W17" s="21"/>
      <c r="X17" s="53"/>
      <c r="Y17" s="20"/>
      <c r="Z17" s="20"/>
      <c r="AA17" s="21"/>
      <c r="AB17" s="53" t="str">
        <f t="shared" si="0"/>
        <v/>
      </c>
      <c r="AC17" s="20"/>
      <c r="AD17" s="20"/>
      <c r="AE17" s="20"/>
      <c r="AF17" s="21"/>
      <c r="AG17" s="53" t="str">
        <f t="shared" si="1"/>
        <v/>
      </c>
      <c r="AH17" s="20"/>
      <c r="AI17" s="20"/>
      <c r="AJ17" s="21"/>
      <c r="AK17" s="51" t="s">
        <v>299</v>
      </c>
      <c r="AL17" s="20"/>
      <c r="AM17" s="20"/>
      <c r="AN17" s="21"/>
    </row>
    <row r="18" spans="1:40" ht="19.5" customHeight="1">
      <c r="A18" s="19">
        <v>4</v>
      </c>
      <c r="B18" s="21"/>
      <c r="C18" s="28" t="s">
        <v>300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301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49" t="s">
        <v>302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303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 t="s">
        <v>299</v>
      </c>
      <c r="AL19" s="20"/>
      <c r="AM19" s="20"/>
      <c r="AN19" s="21"/>
    </row>
    <row r="20" spans="1:40" ht="19.5" customHeight="1">
      <c r="A20" s="19">
        <v>6</v>
      </c>
      <c r="B20" s="21"/>
      <c r="C20" s="49" t="s">
        <v>304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305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 t="s">
        <v>306</v>
      </c>
      <c r="AL20" s="20"/>
      <c r="AM20" s="20"/>
      <c r="AN20" s="21"/>
    </row>
    <row r="21" spans="1:40" ht="19.5" customHeight="1">
      <c r="A21" s="19">
        <v>7</v>
      </c>
      <c r="B21" s="21"/>
      <c r="C21" s="28" t="s">
        <v>307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308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309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310</v>
      </c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 t="s">
        <v>311</v>
      </c>
      <c r="AL22" s="20"/>
      <c r="AM22" s="20"/>
      <c r="AN22" s="21"/>
    </row>
    <row r="23" spans="1:40" ht="19.5" customHeight="1">
      <c r="A23" s="19">
        <v>9</v>
      </c>
      <c r="B23" s="21"/>
      <c r="C23" s="49" t="s">
        <v>312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313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 t="s">
        <v>299</v>
      </c>
      <c r="AL23" s="20"/>
      <c r="AM23" s="20"/>
      <c r="AN23" s="21"/>
    </row>
    <row r="24" spans="1:40" ht="19.5" customHeight="1">
      <c r="A24" s="19">
        <v>10</v>
      </c>
      <c r="B24" s="21"/>
      <c r="C24" s="49" t="s">
        <v>314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315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0"/>
        <v/>
      </c>
      <c r="AC24" s="20"/>
      <c r="AD24" s="20"/>
      <c r="AE24" s="20"/>
      <c r="AF24" s="21"/>
      <c r="AG24" s="25" t="str">
        <f t="shared" si="1"/>
        <v/>
      </c>
      <c r="AH24" s="20"/>
      <c r="AI24" s="20"/>
      <c r="AJ24" s="21"/>
      <c r="AK24" s="19" t="s">
        <v>299</v>
      </c>
      <c r="AL24" s="20"/>
      <c r="AM24" s="20"/>
      <c r="AN24" s="21"/>
    </row>
    <row r="25" spans="1:40" ht="19.5" customHeight="1">
      <c r="A25" s="19">
        <v>11</v>
      </c>
      <c r="B25" s="21"/>
      <c r="C25" s="28" t="s">
        <v>316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317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49" t="s">
        <v>318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319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 t="s">
        <v>299</v>
      </c>
      <c r="AL26" s="20"/>
      <c r="AM26" s="20"/>
      <c r="AN26" s="21"/>
    </row>
    <row r="27" spans="1:40" ht="19.5" customHeight="1">
      <c r="A27" s="19">
        <v>13</v>
      </c>
      <c r="B27" s="21"/>
      <c r="C27" s="49" t="s">
        <v>320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321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 t="s">
        <v>322</v>
      </c>
      <c r="AL27" s="20"/>
      <c r="AM27" s="20"/>
      <c r="AN27" s="21"/>
    </row>
    <row r="28" spans="1:40" ht="19.5" customHeight="1">
      <c r="A28" s="19">
        <v>14</v>
      </c>
      <c r="B28" s="21"/>
      <c r="C28" s="28" t="s">
        <v>323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324</v>
      </c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 t="s">
        <v>299</v>
      </c>
      <c r="AL28" s="20"/>
      <c r="AM28" s="20"/>
      <c r="AN28" s="21"/>
    </row>
    <row r="29" spans="1:40" ht="19.5" customHeight="1">
      <c r="A29" s="19">
        <v>15</v>
      </c>
      <c r="B29" s="21"/>
      <c r="C29" s="49" t="s">
        <v>325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326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 t="s">
        <v>299</v>
      </c>
      <c r="AL29" s="20"/>
      <c r="AM29" s="20"/>
      <c r="AN29" s="21"/>
    </row>
    <row r="30" spans="1:40" ht="19.5" customHeight="1">
      <c r="A30" s="19">
        <v>16</v>
      </c>
      <c r="B30" s="21"/>
      <c r="C30" s="49" t="s">
        <v>327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328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49" t="s">
        <v>329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330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 t="s">
        <v>299</v>
      </c>
      <c r="AL31" s="20"/>
      <c r="AM31" s="20"/>
      <c r="AN31" s="21"/>
    </row>
    <row r="32" spans="1:40" ht="19.5" customHeight="1">
      <c r="A32" s="19">
        <v>18</v>
      </c>
      <c r="B32" s="21"/>
      <c r="C32" s="49" t="s">
        <v>331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332</v>
      </c>
      <c r="O32" s="20"/>
      <c r="P32" s="20"/>
      <c r="Q32" s="20"/>
      <c r="R32" s="20"/>
      <c r="S32" s="20"/>
      <c r="T32" s="21"/>
      <c r="U32" s="29">
        <v>40</v>
      </c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49" t="s">
        <v>333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334</v>
      </c>
      <c r="O33" s="20"/>
      <c r="P33" s="20"/>
      <c r="Q33" s="20"/>
      <c r="R33" s="20"/>
      <c r="S33" s="20"/>
      <c r="T33" s="21"/>
      <c r="U33" s="29">
        <v>40</v>
      </c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49" t="s">
        <v>335</v>
      </c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 t="s">
        <v>336</v>
      </c>
      <c r="O34" s="20"/>
      <c r="P34" s="20"/>
      <c r="Q34" s="20"/>
      <c r="R34" s="20"/>
      <c r="S34" s="20"/>
      <c r="T34" s="21"/>
      <c r="U34" s="29">
        <v>16</v>
      </c>
      <c r="V34" s="20"/>
      <c r="W34" s="21"/>
      <c r="X34" s="25"/>
      <c r="Y34" s="20"/>
      <c r="Z34" s="20"/>
      <c r="AA34" s="21"/>
      <c r="AB34" s="25" t="str">
        <f t="shared" si="0"/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 t="s">
        <v>299</v>
      </c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1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scale="9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N1000"/>
  <sheetViews>
    <sheetView showGridLines="0" workbookViewId="0">
      <selection sqref="A1:AN3"/>
    </sheetView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292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49" t="s">
        <v>337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338</v>
      </c>
      <c r="O15" s="20"/>
      <c r="P15" s="20"/>
      <c r="Q15" s="20"/>
      <c r="R15" s="20"/>
      <c r="S15" s="20"/>
      <c r="T15" s="21"/>
      <c r="U15" s="29">
        <v>300</v>
      </c>
      <c r="V15" s="20"/>
      <c r="W15" s="21"/>
      <c r="X15" s="25"/>
      <c r="Y15" s="20"/>
      <c r="Z15" s="20"/>
      <c r="AA15" s="21"/>
      <c r="AB15" s="25" t="str">
        <f>IF(U15*X15&lt;=0,"",U15*X15)</f>
        <v/>
      </c>
      <c r="AC15" s="20"/>
      <c r="AD15" s="20"/>
      <c r="AE15" s="20"/>
      <c r="AF15" s="21"/>
      <c r="AG15" s="25" t="str">
        <f>IF(AB15="","",AB15*0.1)</f>
        <v/>
      </c>
      <c r="AH15" s="20"/>
      <c r="AI15" s="20"/>
      <c r="AJ15" s="21"/>
      <c r="AK15" s="19" t="s">
        <v>339</v>
      </c>
      <c r="AL15" s="20"/>
      <c r="AM15" s="20"/>
      <c r="AN15" s="21"/>
    </row>
    <row r="16" spans="1:40" ht="19.5" customHeight="1">
      <c r="A16" s="19">
        <v>2</v>
      </c>
      <c r="B16" s="21"/>
      <c r="C16" s="28" t="s">
        <v>340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341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 t="s">
        <v>299</v>
      </c>
      <c r="AL16" s="20"/>
      <c r="AM16" s="20"/>
      <c r="AN16" s="21"/>
    </row>
    <row r="17" spans="1:40" ht="19.5" customHeight="1">
      <c r="A17" s="19">
        <v>3</v>
      </c>
      <c r="B17" s="21"/>
      <c r="C17" s="50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51"/>
      <c r="O17" s="20"/>
      <c r="P17" s="20"/>
      <c r="Q17" s="20"/>
      <c r="R17" s="20"/>
      <c r="S17" s="20"/>
      <c r="T17" s="21"/>
      <c r="U17" s="52"/>
      <c r="V17" s="20"/>
      <c r="W17" s="21"/>
      <c r="X17" s="53"/>
      <c r="Y17" s="20"/>
      <c r="Z17" s="20"/>
      <c r="AA17" s="21"/>
      <c r="AB17" s="53"/>
      <c r="AC17" s="20"/>
      <c r="AD17" s="20"/>
      <c r="AE17" s="20"/>
      <c r="AF17" s="21"/>
      <c r="AG17" s="53"/>
      <c r="AH17" s="20"/>
      <c r="AI17" s="20"/>
      <c r="AJ17" s="21"/>
      <c r="AK17" s="51"/>
      <c r="AL17" s="20"/>
      <c r="AM17" s="20"/>
      <c r="AN17" s="21"/>
    </row>
    <row r="18" spans="1:40" ht="19.5" customHeight="1">
      <c r="A18" s="19">
        <v>4</v>
      </c>
      <c r="B18" s="21"/>
      <c r="C18" s="28"/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/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/>
      <c r="AL18" s="20"/>
      <c r="AM18" s="20"/>
      <c r="AN18" s="21"/>
    </row>
    <row r="19" spans="1:40" ht="19.5" customHeight="1">
      <c r="A19" s="19">
        <v>5</v>
      </c>
      <c r="B19" s="21"/>
      <c r="C19" s="49"/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/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49"/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/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/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/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/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49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/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49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/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/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49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/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49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/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14</v>
      </c>
      <c r="B28" s="21"/>
      <c r="C28" s="28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/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49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/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16</v>
      </c>
      <c r="B30" s="21"/>
      <c r="C30" s="49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/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/>
      <c r="AC30" s="20"/>
      <c r="AD30" s="20"/>
      <c r="AE30" s="20"/>
      <c r="AF30" s="21"/>
      <c r="AG30" s="25"/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49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/>
      <c r="AC31" s="20"/>
      <c r="AD31" s="20"/>
      <c r="AE31" s="20"/>
      <c r="AF31" s="21"/>
      <c r="AG31" s="25"/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49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/>
      <c r="AC32" s="20"/>
      <c r="AD32" s="20"/>
      <c r="AE32" s="20"/>
      <c r="AF32" s="21"/>
      <c r="AG32" s="25"/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49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/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/>
      <c r="AC33" s="20"/>
      <c r="AD33" s="20"/>
      <c r="AE33" s="20"/>
      <c r="AF33" s="21"/>
      <c r="AG33" s="25"/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49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/>
      <c r="AC34" s="20"/>
      <c r="AD34" s="20"/>
      <c r="AE34" s="20"/>
      <c r="AF34" s="21"/>
      <c r="AG34" s="25"/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>IF(AB35="","",AB35*0.1)</f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scale="9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N1000"/>
  <sheetViews>
    <sheetView showGridLines="0" workbookViewId="0"/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342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343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344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2</v>
      </c>
      <c r="B16" s="21"/>
      <c r="C16" s="28" t="s">
        <v>345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346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ref="AB16:AB23" si="0">IF(U16*X16&lt;=0,"",U16*X16)</f>
        <v/>
      </c>
      <c r="AC16" s="20"/>
      <c r="AD16" s="20"/>
      <c r="AE16" s="20"/>
      <c r="AF16" s="21"/>
      <c r="AG16" s="25" t="str">
        <f t="shared" ref="AG16:AG23" si="1">IF(AB16="","",AB16*0.1)</f>
        <v/>
      </c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3</v>
      </c>
      <c r="B17" s="21"/>
      <c r="C17" s="28" t="s">
        <v>347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348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28" t="s">
        <v>349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350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 t="s">
        <v>351</v>
      </c>
      <c r="AL18" s="20"/>
      <c r="AM18" s="20"/>
      <c r="AN18" s="21"/>
    </row>
    <row r="19" spans="1:40" ht="19.5" customHeight="1">
      <c r="A19" s="19">
        <v>5</v>
      </c>
      <c r="B19" s="21"/>
      <c r="C19" s="28" t="s">
        <v>352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353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 t="str">
        <f t="shared" si="0"/>
        <v/>
      </c>
      <c r="AC19" s="20"/>
      <c r="AD19" s="20"/>
      <c r="AE19" s="20"/>
      <c r="AF19" s="21"/>
      <c r="AG19" s="25" t="str">
        <f t="shared" si="1"/>
        <v/>
      </c>
      <c r="AH19" s="20"/>
      <c r="AI19" s="20"/>
      <c r="AJ19" s="21"/>
      <c r="AK19" s="19" t="s">
        <v>354</v>
      </c>
      <c r="AL19" s="20"/>
      <c r="AM19" s="20"/>
      <c r="AN19" s="21"/>
    </row>
    <row r="20" spans="1:40" ht="19.5" customHeight="1">
      <c r="A20" s="19">
        <v>6</v>
      </c>
      <c r="B20" s="21"/>
      <c r="C20" s="28" t="s">
        <v>355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356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 t="str">
        <f t="shared" si="0"/>
        <v/>
      </c>
      <c r="AC20" s="20"/>
      <c r="AD20" s="20"/>
      <c r="AE20" s="20"/>
      <c r="AF20" s="21"/>
      <c r="AG20" s="25" t="str">
        <f t="shared" si="1"/>
        <v/>
      </c>
      <c r="AH20" s="20"/>
      <c r="AI20" s="20"/>
      <c r="AJ20" s="21"/>
      <c r="AK20" s="19" t="s">
        <v>357</v>
      </c>
      <c r="AL20" s="20"/>
      <c r="AM20" s="20"/>
      <c r="AN20" s="21"/>
    </row>
    <row r="21" spans="1:40" ht="19.5" customHeight="1">
      <c r="A21" s="19">
        <v>7</v>
      </c>
      <c r="B21" s="21"/>
      <c r="C21" s="28" t="s">
        <v>358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359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si="0"/>
        <v/>
      </c>
      <c r="AC21" s="20"/>
      <c r="AD21" s="20"/>
      <c r="AE21" s="20"/>
      <c r="AF21" s="21"/>
      <c r="AG21" s="25" t="str">
        <f t="shared" si="1"/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28" t="s">
        <v>360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361</v>
      </c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0"/>
        <v/>
      </c>
      <c r="AC22" s="20"/>
      <c r="AD22" s="20"/>
      <c r="AE22" s="20"/>
      <c r="AF22" s="21"/>
      <c r="AG22" s="25" t="str">
        <f t="shared" si="1"/>
        <v/>
      </c>
      <c r="AH22" s="20"/>
      <c r="AI22" s="20"/>
      <c r="AJ22" s="21"/>
      <c r="AK22" s="19" t="s">
        <v>357</v>
      </c>
      <c r="AL22" s="20"/>
      <c r="AM22" s="20"/>
      <c r="AN22" s="21"/>
    </row>
    <row r="23" spans="1:40" ht="19.5" customHeight="1">
      <c r="A23" s="19">
        <v>9</v>
      </c>
      <c r="B23" s="21"/>
      <c r="C23" s="28" t="s">
        <v>362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363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0"/>
        <v/>
      </c>
      <c r="AC23" s="20"/>
      <c r="AD23" s="20"/>
      <c r="AE23" s="20"/>
      <c r="AF23" s="21"/>
      <c r="AG23" s="25" t="str">
        <f t="shared" si="1"/>
        <v/>
      </c>
      <c r="AH23" s="20"/>
      <c r="AI23" s="20"/>
      <c r="AJ23" s="21"/>
      <c r="AK23" s="19" t="s">
        <v>357</v>
      </c>
      <c r="AL23" s="20"/>
      <c r="AM23" s="20"/>
      <c r="AN23" s="21"/>
    </row>
    <row r="24" spans="1:40" ht="19.5" customHeight="1">
      <c r="A24" s="19">
        <v>10</v>
      </c>
      <c r="B24" s="21"/>
      <c r="C24" s="28" t="s">
        <v>364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365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366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367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ref="AB25:AB34" si="2">IF(U25*X25&lt;=0,"",U25*X25)</f>
        <v/>
      </c>
      <c r="AC25" s="20"/>
      <c r="AD25" s="20"/>
      <c r="AE25" s="20"/>
      <c r="AF25" s="21"/>
      <c r="AG25" s="25" t="str">
        <f t="shared" ref="AG25:AG35" si="3">IF(AB25="","",AB25*0.1)</f>
        <v/>
      </c>
      <c r="AH25" s="20"/>
      <c r="AI25" s="20"/>
      <c r="AJ25" s="21"/>
      <c r="AK25" s="19" t="s">
        <v>368</v>
      </c>
      <c r="AL25" s="20"/>
      <c r="AM25" s="20"/>
      <c r="AN25" s="21"/>
    </row>
    <row r="26" spans="1:40" ht="19.5" customHeight="1">
      <c r="A26" s="19">
        <v>12</v>
      </c>
      <c r="B26" s="21"/>
      <c r="C26" s="28" t="s">
        <v>369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370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2"/>
        <v/>
      </c>
      <c r="AC26" s="20"/>
      <c r="AD26" s="20"/>
      <c r="AE26" s="20"/>
      <c r="AF26" s="21"/>
      <c r="AG26" s="25" t="str">
        <f t="shared" si="3"/>
        <v/>
      </c>
      <c r="AH26" s="20"/>
      <c r="AI26" s="20"/>
      <c r="AJ26" s="21"/>
      <c r="AK26" s="19" t="s">
        <v>371</v>
      </c>
      <c r="AL26" s="20"/>
      <c r="AM26" s="20"/>
      <c r="AN26" s="21"/>
    </row>
    <row r="27" spans="1:40" ht="19.5" customHeight="1">
      <c r="A27" s="19">
        <v>13</v>
      </c>
      <c r="B27" s="21"/>
      <c r="C27" s="28" t="s">
        <v>372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373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2"/>
        <v/>
      </c>
      <c r="AC27" s="20"/>
      <c r="AD27" s="20"/>
      <c r="AE27" s="20"/>
      <c r="AF27" s="21"/>
      <c r="AG27" s="25" t="str">
        <f t="shared" si="3"/>
        <v/>
      </c>
      <c r="AH27" s="20"/>
      <c r="AI27" s="20"/>
      <c r="AJ27" s="21"/>
      <c r="AK27" s="19" t="s">
        <v>371</v>
      </c>
      <c r="AL27" s="20"/>
      <c r="AM27" s="20"/>
      <c r="AN27" s="21"/>
    </row>
    <row r="28" spans="1:40" ht="19.5" customHeight="1">
      <c r="A28" s="19">
        <v>14</v>
      </c>
      <c r="B28" s="21"/>
      <c r="C28" s="28" t="s">
        <v>374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375</v>
      </c>
      <c r="O28" s="20"/>
      <c r="P28" s="20"/>
      <c r="Q28" s="20"/>
      <c r="R28" s="20"/>
      <c r="S28" s="20"/>
      <c r="T28" s="21"/>
      <c r="U28" s="29">
        <v>1000</v>
      </c>
      <c r="V28" s="20"/>
      <c r="W28" s="21"/>
      <c r="X28" s="25"/>
      <c r="Y28" s="20"/>
      <c r="Z28" s="20"/>
      <c r="AA28" s="21"/>
      <c r="AB28" s="25" t="str">
        <f t="shared" si="2"/>
        <v/>
      </c>
      <c r="AC28" s="20"/>
      <c r="AD28" s="20"/>
      <c r="AE28" s="20"/>
      <c r="AF28" s="21"/>
      <c r="AG28" s="25" t="str">
        <f t="shared" si="3"/>
        <v/>
      </c>
      <c r="AH28" s="20"/>
      <c r="AI28" s="20"/>
      <c r="AJ28" s="21"/>
      <c r="AK28" s="19" t="s">
        <v>376</v>
      </c>
      <c r="AL28" s="20"/>
      <c r="AM28" s="20"/>
      <c r="AN28" s="21"/>
    </row>
    <row r="29" spans="1:40" ht="19.5" customHeight="1">
      <c r="A29" s="19">
        <v>15</v>
      </c>
      <c r="B29" s="21"/>
      <c r="C29" s="28" t="s">
        <v>377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378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2"/>
        <v/>
      </c>
      <c r="AC29" s="20"/>
      <c r="AD29" s="20"/>
      <c r="AE29" s="20"/>
      <c r="AF29" s="21"/>
      <c r="AG29" s="25" t="str">
        <f t="shared" si="3"/>
        <v/>
      </c>
      <c r="AH29" s="20"/>
      <c r="AI29" s="20"/>
      <c r="AJ29" s="21"/>
      <c r="AK29" s="19" t="s">
        <v>379</v>
      </c>
      <c r="AL29" s="20"/>
      <c r="AM29" s="20"/>
      <c r="AN29" s="21"/>
    </row>
    <row r="30" spans="1:40" ht="19.5" customHeight="1">
      <c r="A30" s="19">
        <v>16</v>
      </c>
      <c r="B30" s="21"/>
      <c r="C30" s="28" t="s">
        <v>380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381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2"/>
        <v/>
      </c>
      <c r="AC30" s="20"/>
      <c r="AD30" s="20"/>
      <c r="AE30" s="20"/>
      <c r="AF30" s="21"/>
      <c r="AG30" s="25" t="str">
        <f t="shared" si="3"/>
        <v/>
      </c>
      <c r="AH30" s="20"/>
      <c r="AI30" s="20"/>
      <c r="AJ30" s="21"/>
      <c r="AK30" s="19" t="s">
        <v>354</v>
      </c>
      <c r="AL30" s="20"/>
      <c r="AM30" s="20"/>
      <c r="AN30" s="21"/>
    </row>
    <row r="31" spans="1:40" ht="19.5" customHeight="1">
      <c r="A31" s="19">
        <v>17</v>
      </c>
      <c r="B31" s="21"/>
      <c r="C31" s="28" t="s">
        <v>382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383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2"/>
        <v/>
      </c>
      <c r="AC31" s="20"/>
      <c r="AD31" s="20"/>
      <c r="AE31" s="20"/>
      <c r="AF31" s="21"/>
      <c r="AG31" s="25" t="str">
        <f t="shared" si="3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 t="s">
        <v>384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385</v>
      </c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2"/>
        <v/>
      </c>
      <c r="AC32" s="20"/>
      <c r="AD32" s="20"/>
      <c r="AE32" s="20"/>
      <c r="AF32" s="21"/>
      <c r="AG32" s="25" t="str">
        <f t="shared" si="3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 t="s">
        <v>386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387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2"/>
        <v/>
      </c>
      <c r="AC33" s="20"/>
      <c r="AD33" s="20"/>
      <c r="AE33" s="20"/>
      <c r="AF33" s="21"/>
      <c r="AG33" s="25" t="str">
        <f t="shared" si="3"/>
        <v/>
      </c>
      <c r="AH33" s="20"/>
      <c r="AI33" s="20"/>
      <c r="AJ33" s="21"/>
      <c r="AK33" s="19" t="s">
        <v>354</v>
      </c>
      <c r="AL33" s="20"/>
      <c r="AM33" s="20"/>
      <c r="AN33" s="21"/>
    </row>
    <row r="34" spans="1:40" ht="19.5" customHeight="1">
      <c r="A34" s="19">
        <v>20</v>
      </c>
      <c r="B34" s="21"/>
      <c r="C34" s="28" t="s">
        <v>388</v>
      </c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 t="s">
        <v>389</v>
      </c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2"/>
        <v/>
      </c>
      <c r="AC34" s="20"/>
      <c r="AD34" s="20"/>
      <c r="AE34" s="20"/>
      <c r="AF34" s="21"/>
      <c r="AG34" s="25" t="str">
        <f t="shared" si="3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3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scale="9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1000"/>
  <sheetViews>
    <sheetView showGridLines="0" workbookViewId="0"/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390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28" t="s">
        <v>391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392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>IF(U15*X15&lt;=0,"",U15*X15)</f>
        <v/>
      </c>
      <c r="AC15" s="20"/>
      <c r="AD15" s="20"/>
      <c r="AE15" s="20"/>
      <c r="AF15" s="21"/>
      <c r="AG15" s="25" t="str">
        <f>IF(AB15="","",AB15*0.1)</f>
        <v/>
      </c>
      <c r="AH15" s="20"/>
      <c r="AI15" s="20"/>
      <c r="AJ15" s="21"/>
      <c r="AK15" s="19" t="s">
        <v>351</v>
      </c>
      <c r="AL15" s="20"/>
      <c r="AM15" s="20"/>
      <c r="AN15" s="21"/>
    </row>
    <row r="16" spans="1:40" ht="19.5" customHeight="1">
      <c r="A16" s="19">
        <v>2</v>
      </c>
      <c r="B16" s="21"/>
      <c r="C16" s="28" t="s">
        <v>393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394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 t="s">
        <v>351</v>
      </c>
      <c r="AL16" s="20"/>
      <c r="AM16" s="20"/>
      <c r="AN16" s="21"/>
    </row>
    <row r="17" spans="1:40" ht="19.5" customHeight="1">
      <c r="A17" s="19">
        <v>3</v>
      </c>
      <c r="B17" s="21"/>
      <c r="C17" s="28" t="s">
        <v>395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396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 t="s">
        <v>299</v>
      </c>
      <c r="AL17" s="20"/>
      <c r="AM17" s="20"/>
      <c r="AN17" s="21"/>
    </row>
    <row r="18" spans="1:40" ht="19.5" customHeight="1">
      <c r="A18" s="19">
        <v>4</v>
      </c>
      <c r="B18" s="21"/>
      <c r="C18" s="28" t="s">
        <v>397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398</v>
      </c>
      <c r="O18" s="20"/>
      <c r="P18" s="20"/>
      <c r="Q18" s="20"/>
      <c r="R18" s="20"/>
      <c r="S18" s="20"/>
      <c r="T18" s="21"/>
      <c r="U18" s="29">
        <v>8</v>
      </c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 t="s">
        <v>371</v>
      </c>
      <c r="AL18" s="20"/>
      <c r="AM18" s="20"/>
      <c r="AN18" s="21"/>
    </row>
    <row r="19" spans="1:40" ht="19.5" customHeight="1">
      <c r="A19" s="19">
        <v>5</v>
      </c>
      <c r="B19" s="21"/>
      <c r="C19" s="28" t="s">
        <v>399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400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 t="s">
        <v>371</v>
      </c>
      <c r="AL19" s="20"/>
      <c r="AM19" s="20"/>
      <c r="AN19" s="21"/>
    </row>
    <row r="20" spans="1:40" ht="19.5" customHeight="1">
      <c r="A20" s="19">
        <v>6</v>
      </c>
      <c r="B20" s="21"/>
      <c r="C20" s="28" t="s">
        <v>401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402</v>
      </c>
      <c r="O20" s="20"/>
      <c r="P20" s="20"/>
      <c r="Q20" s="20"/>
      <c r="R20" s="20"/>
      <c r="S20" s="20"/>
      <c r="T20" s="21"/>
      <c r="U20" s="29">
        <v>500</v>
      </c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28" t="s">
        <v>403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404</v>
      </c>
      <c r="O21" s="20"/>
      <c r="P21" s="20"/>
      <c r="Q21" s="20"/>
      <c r="R21" s="20"/>
      <c r="S21" s="20"/>
      <c r="T21" s="21"/>
      <c r="U21" s="29">
        <v>150</v>
      </c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 t="s">
        <v>405</v>
      </c>
      <c r="AL21" s="20"/>
      <c r="AM21" s="20"/>
      <c r="AN21" s="21"/>
    </row>
    <row r="22" spans="1:40" ht="19.5" customHeight="1">
      <c r="A22" s="19">
        <v>8</v>
      </c>
      <c r="B22" s="21"/>
      <c r="C22" s="28" t="s">
        <v>406</v>
      </c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 t="s">
        <v>407</v>
      </c>
      <c r="O22" s="20"/>
      <c r="P22" s="20"/>
      <c r="Q22" s="20"/>
      <c r="R22" s="20"/>
      <c r="S22" s="20"/>
      <c r="T22" s="21"/>
      <c r="U22" s="29">
        <v>220</v>
      </c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28" t="s">
        <v>408</v>
      </c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 t="s">
        <v>409</v>
      </c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28" t="s">
        <v>410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411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/>
      <c r="AC24" s="20"/>
      <c r="AD24" s="20"/>
      <c r="AE24" s="20"/>
      <c r="AF24" s="21"/>
      <c r="AG24" s="25"/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28" t="s">
        <v>412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411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/>
      <c r="AC25" s="20"/>
      <c r="AD25" s="20"/>
      <c r="AE25" s="20"/>
      <c r="AF25" s="21"/>
      <c r="AG25" s="25"/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12</v>
      </c>
      <c r="B26" s="21"/>
      <c r="C26" s="28" t="s">
        <v>413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414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/>
      <c r="AC26" s="20"/>
      <c r="AD26" s="20"/>
      <c r="AE26" s="20"/>
      <c r="AF26" s="21"/>
      <c r="AG26" s="25"/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13</v>
      </c>
      <c r="B27" s="21"/>
      <c r="C27" s="28" t="s">
        <v>415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416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 t="s">
        <v>417</v>
      </c>
      <c r="AL27" s="20"/>
      <c r="AM27" s="20"/>
      <c r="AN27" s="21"/>
    </row>
    <row r="28" spans="1:40" ht="19.5" customHeight="1">
      <c r="A28" s="19">
        <v>14</v>
      </c>
      <c r="B28" s="21"/>
      <c r="C28" s="28" t="s">
        <v>418</v>
      </c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 t="s">
        <v>419</v>
      </c>
      <c r="O28" s="20"/>
      <c r="P28" s="20"/>
      <c r="Q28" s="20"/>
      <c r="R28" s="20"/>
      <c r="S28" s="20"/>
      <c r="T28" s="21"/>
      <c r="U28" s="29">
        <v>1040</v>
      </c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 t="s">
        <v>420</v>
      </c>
      <c r="AL28" s="20"/>
      <c r="AM28" s="20"/>
      <c r="AN28" s="21"/>
    </row>
    <row r="29" spans="1:40" ht="19.5" customHeight="1">
      <c r="A29" s="19">
        <v>15</v>
      </c>
      <c r="B29" s="21"/>
      <c r="C29" s="28" t="s">
        <v>421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422</v>
      </c>
      <c r="O29" s="20"/>
      <c r="P29" s="20"/>
      <c r="Q29" s="20"/>
      <c r="R29" s="20"/>
      <c r="S29" s="20"/>
      <c r="T29" s="21"/>
      <c r="U29" s="29">
        <v>460</v>
      </c>
      <c r="V29" s="20"/>
      <c r="W29" s="21"/>
      <c r="X29" s="25"/>
      <c r="Y29" s="20"/>
      <c r="Z29" s="20"/>
      <c r="AA29" s="21"/>
      <c r="AB29" s="25"/>
      <c r="AC29" s="20"/>
      <c r="AD29" s="20"/>
      <c r="AE29" s="20"/>
      <c r="AF29" s="21"/>
      <c r="AG29" s="25"/>
      <c r="AH29" s="20"/>
      <c r="AI29" s="20"/>
      <c r="AJ29" s="21"/>
      <c r="AK29" s="19" t="s">
        <v>423</v>
      </c>
      <c r="AL29" s="20"/>
      <c r="AM29" s="20"/>
      <c r="AN29" s="21"/>
    </row>
    <row r="30" spans="1:40" ht="19.5" customHeight="1">
      <c r="A30" s="19">
        <v>16</v>
      </c>
      <c r="B30" s="21"/>
      <c r="C30" s="28" t="s">
        <v>424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425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/>
      <c r="AC30" s="20"/>
      <c r="AD30" s="20"/>
      <c r="AE30" s="20"/>
      <c r="AF30" s="21"/>
      <c r="AG30" s="25"/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49" t="s">
        <v>426</v>
      </c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 t="s">
        <v>427</v>
      </c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/>
      <c r="AC31" s="20"/>
      <c r="AD31" s="20"/>
      <c r="AE31" s="20"/>
      <c r="AF31" s="21"/>
      <c r="AG31" s="25"/>
      <c r="AH31" s="20"/>
      <c r="AI31" s="20"/>
      <c r="AJ31" s="21"/>
      <c r="AK31" s="19" t="s">
        <v>299</v>
      </c>
      <c r="AL31" s="20"/>
      <c r="AM31" s="20"/>
      <c r="AN31" s="21"/>
    </row>
    <row r="32" spans="1:40" ht="19.5" customHeight="1">
      <c r="A32" s="19">
        <v>18</v>
      </c>
      <c r="B32" s="21"/>
      <c r="C32" s="49" t="s">
        <v>428</v>
      </c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 t="s">
        <v>429</v>
      </c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/>
      <c r="AC32" s="20"/>
      <c r="AD32" s="20"/>
      <c r="AE32" s="20"/>
      <c r="AF32" s="21"/>
      <c r="AG32" s="25"/>
      <c r="AH32" s="20"/>
      <c r="AI32" s="20"/>
      <c r="AJ32" s="21"/>
      <c r="AK32" s="19" t="s">
        <v>430</v>
      </c>
      <c r="AL32" s="20"/>
      <c r="AM32" s="20"/>
      <c r="AN32" s="21"/>
    </row>
    <row r="33" spans="1:40" ht="19.5" customHeight="1">
      <c r="A33" s="19">
        <v>19</v>
      </c>
      <c r="B33" s="21"/>
      <c r="C33" s="49" t="s">
        <v>431</v>
      </c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 t="s">
        <v>432</v>
      </c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/>
      <c r="AC33" s="20"/>
      <c r="AD33" s="20"/>
      <c r="AE33" s="20"/>
      <c r="AF33" s="21"/>
      <c r="AG33" s="25"/>
      <c r="AH33" s="20"/>
      <c r="AI33" s="20"/>
      <c r="AJ33" s="21"/>
      <c r="AK33" s="19" t="s">
        <v>354</v>
      </c>
      <c r="AL33" s="20"/>
      <c r="AM33" s="20"/>
      <c r="AN33" s="21"/>
    </row>
    <row r="34" spans="1:40" ht="19.5" customHeight="1">
      <c r="A34" s="19">
        <v>20</v>
      </c>
      <c r="B34" s="21"/>
      <c r="C34" s="28" t="s">
        <v>433</v>
      </c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 t="s">
        <v>434</v>
      </c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/>
      <c r="AC34" s="20"/>
      <c r="AD34" s="20"/>
      <c r="AE34" s="20"/>
      <c r="AF34" s="21"/>
      <c r="AG34" s="25"/>
      <c r="AH34" s="20"/>
      <c r="AI34" s="20"/>
      <c r="AJ34" s="21"/>
      <c r="AK34" s="19" t="s">
        <v>430</v>
      </c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>IF(AB35="","",AB35*0.1)</f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scale="9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N1000"/>
  <sheetViews>
    <sheetView showGridLines="0" workbookViewId="0"/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2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</row>
    <row r="4" spans="1:40" ht="16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:40" ht="19.5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44" t="s">
        <v>435</v>
      </c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</row>
    <row r="6" spans="1:40" ht="19.5" customHeight="1">
      <c r="A6" s="2"/>
      <c r="B6" s="15" t="s">
        <v>2</v>
      </c>
      <c r="C6" s="12"/>
      <c r="D6" s="12"/>
      <c r="E6" s="12"/>
      <c r="F6" s="16">
        <f ca="1">TODAY()</f>
        <v>46113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2"/>
      <c r="R6" s="45"/>
      <c r="S6" s="24" t="s">
        <v>4</v>
      </c>
      <c r="T6" s="20"/>
      <c r="U6" s="20"/>
      <c r="V6" s="21"/>
      <c r="W6" s="19" t="s">
        <v>5</v>
      </c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1"/>
    </row>
    <row r="7" spans="1:40" ht="19.5" customHeight="1">
      <c r="A7" s="2"/>
      <c r="B7" s="22" t="s">
        <v>6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2"/>
      <c r="P7" s="2"/>
      <c r="Q7" s="2"/>
      <c r="R7" s="46"/>
      <c r="S7" s="24" t="s">
        <v>7</v>
      </c>
      <c r="T7" s="20"/>
      <c r="U7" s="20"/>
      <c r="V7" s="21"/>
      <c r="W7" s="19" t="s">
        <v>8</v>
      </c>
      <c r="X7" s="20"/>
      <c r="Y7" s="20"/>
      <c r="Z7" s="20"/>
      <c r="AA7" s="20"/>
      <c r="AB7" s="20"/>
      <c r="AC7" s="21"/>
      <c r="AD7" s="24" t="s">
        <v>9</v>
      </c>
      <c r="AE7" s="20"/>
      <c r="AF7" s="20"/>
      <c r="AG7" s="21"/>
      <c r="AH7" s="19" t="s">
        <v>10</v>
      </c>
      <c r="AI7" s="20"/>
      <c r="AJ7" s="20"/>
      <c r="AK7" s="20"/>
      <c r="AL7" s="20"/>
      <c r="AM7" s="20"/>
      <c r="AN7" s="21"/>
    </row>
    <row r="8" spans="1:40" ht="19.5" customHeight="1">
      <c r="A8" s="2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23" t="s">
        <v>11</v>
      </c>
      <c r="P8" s="14"/>
      <c r="Q8" s="2"/>
      <c r="R8" s="46"/>
      <c r="S8" s="24" t="s">
        <v>12</v>
      </c>
      <c r="T8" s="20"/>
      <c r="U8" s="20"/>
      <c r="V8" s="21"/>
      <c r="W8" s="19" t="s">
        <v>13</v>
      </c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1"/>
    </row>
    <row r="9" spans="1:40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46"/>
      <c r="S9" s="24" t="s">
        <v>14</v>
      </c>
      <c r="T9" s="20"/>
      <c r="U9" s="20"/>
      <c r="V9" s="21"/>
      <c r="W9" s="19" t="s">
        <v>15</v>
      </c>
      <c r="X9" s="20"/>
      <c r="Y9" s="20"/>
      <c r="Z9" s="20"/>
      <c r="AA9" s="20"/>
      <c r="AB9" s="20"/>
      <c r="AC9" s="21"/>
      <c r="AD9" s="24" t="s">
        <v>16</v>
      </c>
      <c r="AE9" s="20"/>
      <c r="AF9" s="20"/>
      <c r="AG9" s="21"/>
      <c r="AH9" s="19" t="s">
        <v>17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15" t="s">
        <v>18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2"/>
      <c r="R10" s="47"/>
      <c r="S10" s="24" t="s">
        <v>19</v>
      </c>
      <c r="T10" s="20"/>
      <c r="U10" s="20"/>
      <c r="V10" s="21"/>
      <c r="W10" s="19" t="s">
        <v>20</v>
      </c>
      <c r="X10" s="20"/>
      <c r="Y10" s="20"/>
      <c r="Z10" s="20"/>
      <c r="AA10" s="20"/>
      <c r="AB10" s="20"/>
      <c r="AC10" s="21"/>
      <c r="AD10" s="24" t="s">
        <v>21</v>
      </c>
      <c r="AE10" s="20"/>
      <c r="AF10" s="20"/>
      <c r="AG10" s="21"/>
      <c r="AH10" s="19" t="s">
        <v>22</v>
      </c>
      <c r="AI10" s="20"/>
      <c r="AJ10" s="20"/>
      <c r="AK10" s="20"/>
      <c r="AL10" s="20"/>
      <c r="AM10" s="20"/>
      <c r="AN10" s="21"/>
    </row>
    <row r="11" spans="1:40" ht="19.5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spans="1:40" ht="19.5" customHeight="1">
      <c r="A12" s="22" t="s">
        <v>23</v>
      </c>
      <c r="B12" s="12"/>
      <c r="C12" s="12"/>
      <c r="D12" s="12"/>
      <c r="E12" s="12"/>
      <c r="F12" s="26" t="str">
        <f>IF(ISERROR((NUMBERSTRING(X12,1))),"",(NUMBERSTRING(X12,1)))</f>
        <v/>
      </c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22" t="s">
        <v>24</v>
      </c>
      <c r="V12" s="12"/>
      <c r="W12" s="22" t="s">
        <v>25</v>
      </c>
      <c r="X12" s="27" t="str">
        <f>IF(SUM(AB15:AJ34)=0,"",SUM(AB15:AJ34))</f>
        <v/>
      </c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22" t="s">
        <v>26</v>
      </c>
      <c r="AN12" s="4"/>
    </row>
    <row r="13" spans="1:40" ht="19.5" customHeight="1">
      <c r="A13" s="12"/>
      <c r="B13" s="12"/>
      <c r="C13" s="12"/>
      <c r="D13" s="12"/>
      <c r="E13" s="12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5"/>
    </row>
    <row r="14" spans="1:40" ht="19.5" customHeight="1">
      <c r="A14" s="24" t="s">
        <v>27</v>
      </c>
      <c r="B14" s="21"/>
      <c r="C14" s="24" t="s">
        <v>28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24" t="s">
        <v>29</v>
      </c>
      <c r="O14" s="20"/>
      <c r="P14" s="20"/>
      <c r="Q14" s="20"/>
      <c r="R14" s="20"/>
      <c r="S14" s="20"/>
      <c r="T14" s="21"/>
      <c r="U14" s="24" t="s">
        <v>30</v>
      </c>
      <c r="V14" s="20"/>
      <c r="W14" s="21"/>
      <c r="X14" s="24" t="s">
        <v>31</v>
      </c>
      <c r="Y14" s="20"/>
      <c r="Z14" s="20"/>
      <c r="AA14" s="21"/>
      <c r="AB14" s="24" t="s">
        <v>32</v>
      </c>
      <c r="AC14" s="20"/>
      <c r="AD14" s="20"/>
      <c r="AE14" s="20"/>
      <c r="AF14" s="21"/>
      <c r="AG14" s="24" t="s">
        <v>33</v>
      </c>
      <c r="AH14" s="20"/>
      <c r="AI14" s="20"/>
      <c r="AJ14" s="21"/>
      <c r="AK14" s="24" t="s">
        <v>34</v>
      </c>
      <c r="AL14" s="20"/>
      <c r="AM14" s="20"/>
      <c r="AN14" s="21"/>
    </row>
    <row r="15" spans="1:40" ht="19.5" customHeight="1">
      <c r="A15" s="19">
        <v>1</v>
      </c>
      <c r="B15" s="21"/>
      <c r="C15" s="49" t="s">
        <v>436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437</v>
      </c>
      <c r="O15" s="20"/>
      <c r="P15" s="20"/>
      <c r="Q15" s="20"/>
      <c r="R15" s="20"/>
      <c r="S15" s="20"/>
      <c r="T15" s="21"/>
      <c r="U15" s="29"/>
      <c r="V15" s="20"/>
      <c r="W15" s="21"/>
      <c r="X15" s="25"/>
      <c r="Y15" s="20"/>
      <c r="Z15" s="20"/>
      <c r="AA15" s="21"/>
      <c r="AB15" s="25" t="str">
        <f t="shared" ref="AB15:AB18" si="0">IF(U15*X15&lt;=0,"",U15*X15)</f>
        <v/>
      </c>
      <c r="AC15" s="20"/>
      <c r="AD15" s="20"/>
      <c r="AE15" s="20"/>
      <c r="AF15" s="21"/>
      <c r="AG15" s="25" t="str">
        <f t="shared" ref="AG15:AG18" si="1">IF(AB15="","",AB15*0.1)</f>
        <v/>
      </c>
      <c r="AH15" s="20"/>
      <c r="AI15" s="20"/>
      <c r="AJ15" s="21"/>
      <c r="AK15" s="19" t="s">
        <v>438</v>
      </c>
      <c r="AL15" s="20"/>
      <c r="AM15" s="20"/>
      <c r="AN15" s="21"/>
    </row>
    <row r="16" spans="1:40" ht="19.5" customHeight="1">
      <c r="A16" s="19">
        <v>2</v>
      </c>
      <c r="B16" s="21"/>
      <c r="C16" s="49" t="s">
        <v>439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440</v>
      </c>
      <c r="O16" s="20"/>
      <c r="P16" s="20"/>
      <c r="Q16" s="20"/>
      <c r="R16" s="20"/>
      <c r="S16" s="20"/>
      <c r="T16" s="21"/>
      <c r="U16" s="29"/>
      <c r="V16" s="20"/>
      <c r="W16" s="21"/>
      <c r="X16" s="25"/>
      <c r="Y16" s="20"/>
      <c r="Z16" s="20"/>
      <c r="AA16" s="21"/>
      <c r="AB16" s="25" t="str">
        <f t="shared" si="0"/>
        <v/>
      </c>
      <c r="AC16" s="20"/>
      <c r="AD16" s="20"/>
      <c r="AE16" s="20"/>
      <c r="AF16" s="21"/>
      <c r="AG16" s="25" t="str">
        <f t="shared" si="1"/>
        <v/>
      </c>
      <c r="AH16" s="20"/>
      <c r="AI16" s="20"/>
      <c r="AJ16" s="21"/>
      <c r="AK16" s="19" t="s">
        <v>441</v>
      </c>
      <c r="AL16" s="20"/>
      <c r="AM16" s="20"/>
      <c r="AN16" s="21"/>
    </row>
    <row r="17" spans="1:40" ht="19.5" customHeight="1">
      <c r="A17" s="19">
        <v>3</v>
      </c>
      <c r="B17" s="21"/>
      <c r="C17" s="49" t="s">
        <v>442</v>
      </c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 t="s">
        <v>443</v>
      </c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 t="str">
        <f t="shared" si="0"/>
        <v/>
      </c>
      <c r="AC17" s="20"/>
      <c r="AD17" s="20"/>
      <c r="AE17" s="20"/>
      <c r="AF17" s="21"/>
      <c r="AG17" s="25" t="str">
        <f t="shared" si="1"/>
        <v/>
      </c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4</v>
      </c>
      <c r="B18" s="21"/>
      <c r="C18" s="49" t="s">
        <v>444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445</v>
      </c>
      <c r="O18" s="20"/>
      <c r="P18" s="20"/>
      <c r="Q18" s="20"/>
      <c r="R18" s="20"/>
      <c r="S18" s="20"/>
      <c r="T18" s="21"/>
      <c r="U18" s="29"/>
      <c r="V18" s="20"/>
      <c r="W18" s="21"/>
      <c r="X18" s="25"/>
      <c r="Y18" s="20"/>
      <c r="Z18" s="20"/>
      <c r="AA18" s="21"/>
      <c r="AB18" s="25" t="str">
        <f t="shared" si="0"/>
        <v/>
      </c>
      <c r="AC18" s="20"/>
      <c r="AD18" s="20"/>
      <c r="AE18" s="20"/>
      <c r="AF18" s="21"/>
      <c r="AG18" s="25" t="str">
        <f t="shared" si="1"/>
        <v/>
      </c>
      <c r="AH18" s="20"/>
      <c r="AI18" s="20"/>
      <c r="AJ18" s="21"/>
      <c r="AK18" s="19" t="s">
        <v>299</v>
      </c>
      <c r="AL18" s="20"/>
      <c r="AM18" s="20"/>
      <c r="AN18" s="21"/>
    </row>
    <row r="19" spans="1:40" ht="19.5" customHeight="1">
      <c r="A19" s="19">
        <v>5</v>
      </c>
      <c r="B19" s="21"/>
      <c r="C19" s="49" t="s">
        <v>446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447</v>
      </c>
      <c r="O19" s="20"/>
      <c r="P19" s="20"/>
      <c r="Q19" s="20"/>
      <c r="R19" s="20"/>
      <c r="S19" s="20"/>
      <c r="T19" s="21"/>
      <c r="U19" s="29"/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/>
      <c r="AL19" s="20"/>
      <c r="AM19" s="20"/>
      <c r="AN19" s="21"/>
    </row>
    <row r="20" spans="1:40" ht="19.5" customHeight="1">
      <c r="A20" s="19">
        <v>6</v>
      </c>
      <c r="B20" s="21"/>
      <c r="C20" s="49" t="s">
        <v>448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449</v>
      </c>
      <c r="O20" s="20"/>
      <c r="P20" s="20"/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7</v>
      </c>
      <c r="B21" s="21"/>
      <c r="C21" s="49" t="s">
        <v>450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451</v>
      </c>
      <c r="O21" s="20"/>
      <c r="P21" s="20"/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 t="str">
        <f t="shared" ref="AB21:AB26" si="2">IF(U21*X21&lt;=0,"",U21*X21)</f>
        <v/>
      </c>
      <c r="AC21" s="20"/>
      <c r="AD21" s="20"/>
      <c r="AE21" s="20"/>
      <c r="AF21" s="21"/>
      <c r="AG21" s="25" t="str">
        <f t="shared" ref="AG21:AG26" si="3">IF(AB21="","",AB21*0.1)</f>
        <v/>
      </c>
      <c r="AH21" s="20"/>
      <c r="AI21" s="20"/>
      <c r="AJ21" s="21"/>
      <c r="AK21" s="19"/>
      <c r="AL21" s="20"/>
      <c r="AM21" s="20"/>
      <c r="AN21" s="21"/>
    </row>
    <row r="22" spans="1:40" ht="19.5" customHeight="1">
      <c r="A22" s="19">
        <v>8</v>
      </c>
      <c r="B22" s="21"/>
      <c r="C22" s="49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19"/>
      <c r="O22" s="20"/>
      <c r="P22" s="2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 t="str">
        <f t="shared" si="2"/>
        <v/>
      </c>
      <c r="AC22" s="20"/>
      <c r="AD22" s="20"/>
      <c r="AE22" s="20"/>
      <c r="AF22" s="21"/>
      <c r="AG22" s="25" t="str">
        <f t="shared" si="3"/>
        <v/>
      </c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9</v>
      </c>
      <c r="B23" s="21"/>
      <c r="C23" s="49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19"/>
      <c r="O23" s="20"/>
      <c r="P23" s="2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 t="str">
        <f t="shared" si="2"/>
        <v/>
      </c>
      <c r="AC23" s="20"/>
      <c r="AD23" s="20"/>
      <c r="AE23" s="20"/>
      <c r="AF23" s="21"/>
      <c r="AG23" s="25" t="str">
        <f t="shared" si="3"/>
        <v/>
      </c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10</v>
      </c>
      <c r="B24" s="21"/>
      <c r="C24" s="49" t="s">
        <v>452</v>
      </c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19" t="s">
        <v>453</v>
      </c>
      <c r="O24" s="20"/>
      <c r="P24" s="2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si="2"/>
        <v/>
      </c>
      <c r="AC24" s="20"/>
      <c r="AD24" s="20"/>
      <c r="AE24" s="20"/>
      <c r="AF24" s="21"/>
      <c r="AG24" s="25" t="str">
        <f t="shared" si="3"/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11</v>
      </c>
      <c r="B25" s="21"/>
      <c r="C25" s="49" t="s">
        <v>454</v>
      </c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19" t="s">
        <v>455</v>
      </c>
      <c r="O25" s="20"/>
      <c r="P25" s="2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2"/>
        <v/>
      </c>
      <c r="AC25" s="20"/>
      <c r="AD25" s="20"/>
      <c r="AE25" s="20"/>
      <c r="AF25" s="21"/>
      <c r="AG25" s="25" t="str">
        <f t="shared" si="3"/>
        <v/>
      </c>
      <c r="AH25" s="20"/>
      <c r="AI25" s="20"/>
      <c r="AJ25" s="21"/>
      <c r="AK25" s="19" t="s">
        <v>456</v>
      </c>
      <c r="AL25" s="20"/>
      <c r="AM25" s="20"/>
      <c r="AN25" s="21"/>
    </row>
    <row r="26" spans="1:40" ht="19.5" customHeight="1">
      <c r="A26" s="19">
        <v>12</v>
      </c>
      <c r="B26" s="21"/>
      <c r="C26" s="49" t="s">
        <v>457</v>
      </c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19" t="s">
        <v>445</v>
      </c>
      <c r="O26" s="20"/>
      <c r="P26" s="2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2"/>
        <v/>
      </c>
      <c r="AC26" s="20"/>
      <c r="AD26" s="20"/>
      <c r="AE26" s="20"/>
      <c r="AF26" s="21"/>
      <c r="AG26" s="25" t="str">
        <f t="shared" si="3"/>
        <v/>
      </c>
      <c r="AH26" s="20"/>
      <c r="AI26" s="20"/>
      <c r="AJ26" s="21"/>
      <c r="AK26" s="19" t="s">
        <v>458</v>
      </c>
      <c r="AL26" s="20"/>
      <c r="AM26" s="20"/>
      <c r="AN26" s="21"/>
    </row>
    <row r="27" spans="1:40" ht="19.5" customHeight="1">
      <c r="A27" s="19">
        <v>13</v>
      </c>
      <c r="B27" s="21"/>
      <c r="C27" s="49" t="s">
        <v>459</v>
      </c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19" t="s">
        <v>460</v>
      </c>
      <c r="O27" s="20"/>
      <c r="P27" s="2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/>
      <c r="AC27" s="20"/>
      <c r="AD27" s="20"/>
      <c r="AE27" s="20"/>
      <c r="AF27" s="21"/>
      <c r="AG27" s="25"/>
      <c r="AH27" s="20"/>
      <c r="AI27" s="20"/>
      <c r="AJ27" s="21"/>
      <c r="AK27" s="19" t="s">
        <v>461</v>
      </c>
      <c r="AL27" s="20"/>
      <c r="AM27" s="20"/>
      <c r="AN27" s="21"/>
    </row>
    <row r="28" spans="1:40" ht="19.5" customHeight="1">
      <c r="A28" s="19">
        <v>14</v>
      </c>
      <c r="B28" s="21"/>
      <c r="C28" s="49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19"/>
      <c r="O28" s="20"/>
      <c r="P28" s="2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/>
      <c r="AC28" s="20"/>
      <c r="AD28" s="20"/>
      <c r="AE28" s="20"/>
      <c r="AF28" s="21"/>
      <c r="AG28" s="25"/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15</v>
      </c>
      <c r="B29" s="21"/>
      <c r="C29" s="49" t="s">
        <v>462</v>
      </c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19" t="s">
        <v>463</v>
      </c>
      <c r="O29" s="20"/>
      <c r="P29" s="2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ref="AB29:AB34" si="4">IF(U29*X29&lt;=0,"",U29*X29)</f>
        <v/>
      </c>
      <c r="AC29" s="20"/>
      <c r="AD29" s="20"/>
      <c r="AE29" s="20"/>
      <c r="AF29" s="21"/>
      <c r="AG29" s="25" t="str">
        <f t="shared" ref="AG29:AG35" si="5">IF(AB29="","",AB29*0.1)</f>
        <v/>
      </c>
      <c r="AH29" s="20"/>
      <c r="AI29" s="20"/>
      <c r="AJ29" s="21"/>
      <c r="AK29" s="19" t="s">
        <v>461</v>
      </c>
      <c r="AL29" s="20"/>
      <c r="AM29" s="20"/>
      <c r="AN29" s="21"/>
    </row>
    <row r="30" spans="1:40" ht="19.5" customHeight="1">
      <c r="A30" s="19">
        <v>16</v>
      </c>
      <c r="B30" s="21"/>
      <c r="C30" s="49" t="s">
        <v>464</v>
      </c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 t="s">
        <v>465</v>
      </c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4"/>
        <v/>
      </c>
      <c r="AC30" s="20"/>
      <c r="AD30" s="20"/>
      <c r="AE30" s="20"/>
      <c r="AF30" s="21"/>
      <c r="AG30" s="25" t="str">
        <f t="shared" si="5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17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4"/>
        <v/>
      </c>
      <c r="AC31" s="20"/>
      <c r="AD31" s="20"/>
      <c r="AE31" s="20"/>
      <c r="AF31" s="21"/>
      <c r="AG31" s="25" t="str">
        <f t="shared" si="5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18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4"/>
        <v/>
      </c>
      <c r="AC32" s="20"/>
      <c r="AD32" s="20"/>
      <c r="AE32" s="20"/>
      <c r="AF32" s="21"/>
      <c r="AG32" s="25" t="str">
        <f t="shared" si="5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19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/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4"/>
        <v/>
      </c>
      <c r="AC33" s="20"/>
      <c r="AD33" s="20"/>
      <c r="AE33" s="20"/>
      <c r="AF33" s="21"/>
      <c r="AG33" s="25" t="str">
        <f t="shared" si="5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19">
        <v>20</v>
      </c>
      <c r="B34" s="21"/>
      <c r="C34" s="28"/>
      <c r="D34" s="20"/>
      <c r="E34" s="20"/>
      <c r="F34" s="20"/>
      <c r="G34" s="20"/>
      <c r="H34" s="20"/>
      <c r="I34" s="20"/>
      <c r="J34" s="20"/>
      <c r="K34" s="20"/>
      <c r="L34" s="20"/>
      <c r="M34" s="21"/>
      <c r="N34" s="19"/>
      <c r="O34" s="20"/>
      <c r="P34" s="20"/>
      <c r="Q34" s="20"/>
      <c r="R34" s="20"/>
      <c r="S34" s="20"/>
      <c r="T34" s="21"/>
      <c r="U34" s="29"/>
      <c r="V34" s="20"/>
      <c r="W34" s="21"/>
      <c r="X34" s="25"/>
      <c r="Y34" s="20"/>
      <c r="Z34" s="20"/>
      <c r="AA34" s="21"/>
      <c r="AB34" s="25" t="str">
        <f t="shared" si="4"/>
        <v/>
      </c>
      <c r="AC34" s="20"/>
      <c r="AD34" s="20"/>
      <c r="AE34" s="20"/>
      <c r="AF34" s="21"/>
      <c r="AG34" s="25" t="str">
        <f t="shared" si="5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24" t="s">
        <v>54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1"/>
      <c r="AB35" s="25" t="str">
        <f>IF(SUM(AB15:AF34)&lt;=0,"",SUM(AB15:AF34))</f>
        <v/>
      </c>
      <c r="AC35" s="20"/>
      <c r="AD35" s="20"/>
      <c r="AE35" s="20"/>
      <c r="AF35" s="21"/>
      <c r="AG35" s="25" t="str">
        <f t="shared" si="5"/>
        <v/>
      </c>
      <c r="AH35" s="20"/>
      <c r="AI35" s="20"/>
      <c r="AJ35" s="21"/>
      <c r="AK35" s="19"/>
      <c r="AL35" s="20"/>
      <c r="AM35" s="20"/>
      <c r="AN35" s="21"/>
    </row>
    <row r="36" spans="1:40" ht="19.5" customHeight="1">
      <c r="A36" s="38" t="s">
        <v>55</v>
      </c>
      <c r="B36" s="36"/>
      <c r="C36" s="36"/>
      <c r="D36" s="36"/>
      <c r="E36" s="36"/>
      <c r="F36" s="48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6"/>
      <c r="AG36" s="36"/>
      <c r="AH36" s="36"/>
      <c r="AI36" s="36"/>
      <c r="AJ36" s="36"/>
      <c r="AK36" s="36"/>
      <c r="AL36" s="36"/>
      <c r="AM36" s="36"/>
      <c r="AN36" s="37"/>
    </row>
    <row r="37" spans="1:40" ht="19.5" customHeight="1">
      <c r="A37" s="39" t="s">
        <v>56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9" t="s">
        <v>57</v>
      </c>
      <c r="B38" s="12"/>
      <c r="C38" s="12"/>
      <c r="D38" s="12"/>
      <c r="E38" s="12"/>
      <c r="F38" s="15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8"/>
    </row>
    <row r="39" spans="1:40" ht="19.5" customHeight="1">
      <c r="A39" s="31" t="s">
        <v>58</v>
      </c>
      <c r="B39" s="14"/>
      <c r="C39" s="14"/>
      <c r="D39" s="14"/>
      <c r="E39" s="14"/>
      <c r="F39" s="32" t="s">
        <v>59</v>
      </c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33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6.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0">
    <mergeCell ref="A39:E39"/>
    <mergeCell ref="F38:AN38"/>
    <mergeCell ref="F39:AN39"/>
    <mergeCell ref="A35:AA35"/>
    <mergeCell ref="AB35:AF35"/>
    <mergeCell ref="AG35:AJ35"/>
    <mergeCell ref="AK35:AN35"/>
    <mergeCell ref="A36:E36"/>
    <mergeCell ref="F36:AN36"/>
    <mergeCell ref="F37:AN37"/>
    <mergeCell ref="A33:B33"/>
    <mergeCell ref="A34:B34"/>
    <mergeCell ref="C34:M34"/>
    <mergeCell ref="N34:T34"/>
    <mergeCell ref="U34:W34"/>
    <mergeCell ref="X34:AA34"/>
    <mergeCell ref="AB34:AF34"/>
    <mergeCell ref="A37:E37"/>
    <mergeCell ref="A38:E38"/>
    <mergeCell ref="AB33:AF33"/>
    <mergeCell ref="AG33:AJ33"/>
    <mergeCell ref="AG32:AJ32"/>
    <mergeCell ref="AK32:AN32"/>
    <mergeCell ref="C33:M33"/>
    <mergeCell ref="N33:T33"/>
    <mergeCell ref="U33:W33"/>
    <mergeCell ref="X33:AA33"/>
    <mergeCell ref="AK33:AN33"/>
    <mergeCell ref="C31:M31"/>
    <mergeCell ref="N31:T31"/>
    <mergeCell ref="U31:W31"/>
    <mergeCell ref="X31:AA31"/>
    <mergeCell ref="AB31:AF31"/>
    <mergeCell ref="AG31:AJ31"/>
    <mergeCell ref="AK31:AN31"/>
    <mergeCell ref="A31:B31"/>
    <mergeCell ref="A32:B32"/>
    <mergeCell ref="C32:M32"/>
    <mergeCell ref="N32:T32"/>
    <mergeCell ref="U32:W32"/>
    <mergeCell ref="X32:AA32"/>
    <mergeCell ref="AB32:AF32"/>
    <mergeCell ref="AG30:AJ30"/>
    <mergeCell ref="AK30:AN30"/>
    <mergeCell ref="A29:B29"/>
    <mergeCell ref="A30:B30"/>
    <mergeCell ref="C30:M30"/>
    <mergeCell ref="N30:T30"/>
    <mergeCell ref="U30:W30"/>
    <mergeCell ref="X30:AA30"/>
    <mergeCell ref="AB30:AF30"/>
    <mergeCell ref="C28:M28"/>
    <mergeCell ref="N28:T28"/>
    <mergeCell ref="U28:W28"/>
    <mergeCell ref="X28:AA28"/>
    <mergeCell ref="AB28:AF28"/>
    <mergeCell ref="AB29:AF29"/>
    <mergeCell ref="AG29:AJ29"/>
    <mergeCell ref="AG28:AJ28"/>
    <mergeCell ref="AK28:AN28"/>
    <mergeCell ref="C29:M29"/>
    <mergeCell ref="N29:T29"/>
    <mergeCell ref="U29:W29"/>
    <mergeCell ref="X29:AA29"/>
    <mergeCell ref="AK29:AN29"/>
    <mergeCell ref="AG15:AJ15"/>
    <mergeCell ref="AK15:AN15"/>
    <mergeCell ref="AG16:AJ16"/>
    <mergeCell ref="AK16:AN16"/>
    <mergeCell ref="AG24:AJ24"/>
    <mergeCell ref="AK24:AN24"/>
    <mergeCell ref="U25:W25"/>
    <mergeCell ref="X25:AA25"/>
    <mergeCell ref="AK25:AN25"/>
    <mergeCell ref="C23:M23"/>
    <mergeCell ref="N23:T23"/>
    <mergeCell ref="U23:W23"/>
    <mergeCell ref="X23:AA23"/>
    <mergeCell ref="AB23:AF23"/>
    <mergeCell ref="AG23:AJ23"/>
    <mergeCell ref="AK23:AN23"/>
    <mergeCell ref="AG34:AJ34"/>
    <mergeCell ref="AK34:AN34"/>
    <mergeCell ref="AG26:AJ26"/>
    <mergeCell ref="AK26:AN26"/>
    <mergeCell ref="A25:B25"/>
    <mergeCell ref="A26:B26"/>
    <mergeCell ref="C26:M26"/>
    <mergeCell ref="N26:T26"/>
    <mergeCell ref="U26:W26"/>
    <mergeCell ref="X26:AA26"/>
    <mergeCell ref="AB26:AF26"/>
    <mergeCell ref="C27:M27"/>
    <mergeCell ref="N27:T27"/>
    <mergeCell ref="U27:W27"/>
    <mergeCell ref="X27:AA27"/>
    <mergeCell ref="AB27:AF27"/>
    <mergeCell ref="AG27:AJ27"/>
    <mergeCell ref="AK27:AN27"/>
    <mergeCell ref="A27:B27"/>
    <mergeCell ref="A28:B28"/>
    <mergeCell ref="AB25:AF25"/>
    <mergeCell ref="AG25:AJ25"/>
    <mergeCell ref="C25:M25"/>
    <mergeCell ref="N25:T25"/>
    <mergeCell ref="F12:T13"/>
    <mergeCell ref="U12:V13"/>
    <mergeCell ref="W12:W13"/>
    <mergeCell ref="X12:AL13"/>
    <mergeCell ref="AM12:AM13"/>
    <mergeCell ref="AG14:AJ14"/>
    <mergeCell ref="AK14:AN14"/>
    <mergeCell ref="A12:E13"/>
    <mergeCell ref="A14:B14"/>
    <mergeCell ref="C14:M14"/>
    <mergeCell ref="N14:T14"/>
    <mergeCell ref="U14:W14"/>
    <mergeCell ref="X14:AA14"/>
    <mergeCell ref="AB14:AF14"/>
    <mergeCell ref="B10:P10"/>
    <mergeCell ref="S10:V10"/>
    <mergeCell ref="W10:AC10"/>
    <mergeCell ref="AD10:AG10"/>
    <mergeCell ref="A1:AN3"/>
    <mergeCell ref="R5:AN5"/>
    <mergeCell ref="B6:E6"/>
    <mergeCell ref="F6:P6"/>
    <mergeCell ref="R6:R10"/>
    <mergeCell ref="W6:AN6"/>
    <mergeCell ref="AH7:AN7"/>
    <mergeCell ref="AH10:AN10"/>
    <mergeCell ref="B7:N8"/>
    <mergeCell ref="O8:P8"/>
    <mergeCell ref="S6:V6"/>
    <mergeCell ref="S7:V7"/>
    <mergeCell ref="W7:AC7"/>
    <mergeCell ref="AD7:AG7"/>
    <mergeCell ref="S8:V8"/>
    <mergeCell ref="W8:AN8"/>
    <mergeCell ref="S9:V9"/>
    <mergeCell ref="W9:AC9"/>
    <mergeCell ref="AD9:AG9"/>
    <mergeCell ref="AH9:AN9"/>
    <mergeCell ref="A23:B23"/>
    <mergeCell ref="A24:B24"/>
    <mergeCell ref="C24:M24"/>
    <mergeCell ref="N24:T24"/>
    <mergeCell ref="U24:W24"/>
    <mergeCell ref="X24:AA24"/>
    <mergeCell ref="AB24:AF24"/>
    <mergeCell ref="AG22:AJ22"/>
    <mergeCell ref="AK22:AN22"/>
    <mergeCell ref="A22:B22"/>
    <mergeCell ref="C22:M22"/>
    <mergeCell ref="N22:T22"/>
    <mergeCell ref="U22:W22"/>
    <mergeCell ref="X22:AA22"/>
    <mergeCell ref="AB22:AF22"/>
    <mergeCell ref="N21:T21"/>
    <mergeCell ref="U21:W21"/>
    <mergeCell ref="X21:AA21"/>
    <mergeCell ref="AK21:AN21"/>
    <mergeCell ref="C19:M19"/>
    <mergeCell ref="N19:T19"/>
    <mergeCell ref="U19:W19"/>
    <mergeCell ref="X19:AA19"/>
    <mergeCell ref="AB19:AF19"/>
    <mergeCell ref="AG19:AJ19"/>
    <mergeCell ref="AK19:AN19"/>
    <mergeCell ref="A21:B21"/>
    <mergeCell ref="AG17:AJ17"/>
    <mergeCell ref="AK17:AN17"/>
    <mergeCell ref="AG18:AJ18"/>
    <mergeCell ref="AK18:AN18"/>
    <mergeCell ref="A17:B17"/>
    <mergeCell ref="A18:B18"/>
    <mergeCell ref="C18:M18"/>
    <mergeCell ref="N18:T18"/>
    <mergeCell ref="U18:W18"/>
    <mergeCell ref="X18:AA18"/>
    <mergeCell ref="AB18:AF18"/>
    <mergeCell ref="A19:B19"/>
    <mergeCell ref="A20:B20"/>
    <mergeCell ref="C20:M20"/>
    <mergeCell ref="N20:T20"/>
    <mergeCell ref="U20:W20"/>
    <mergeCell ref="X20:AA20"/>
    <mergeCell ref="AB20:AF20"/>
    <mergeCell ref="AG20:AJ20"/>
    <mergeCell ref="AK20:AN20"/>
    <mergeCell ref="AB21:AF21"/>
    <mergeCell ref="AG21:AJ21"/>
    <mergeCell ref="C21:M21"/>
    <mergeCell ref="A15:B15"/>
    <mergeCell ref="A16:B16"/>
    <mergeCell ref="C16:M16"/>
    <mergeCell ref="N16:T16"/>
    <mergeCell ref="U16:W16"/>
    <mergeCell ref="X16:AA16"/>
    <mergeCell ref="AB16:AF16"/>
    <mergeCell ref="C17:M17"/>
    <mergeCell ref="N17:T17"/>
    <mergeCell ref="U17:W17"/>
    <mergeCell ref="X17:AA17"/>
    <mergeCell ref="AB17:AF17"/>
    <mergeCell ref="C15:M15"/>
    <mergeCell ref="N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scale="9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N1000"/>
  <sheetViews>
    <sheetView showGridLines="0" workbookViewId="0"/>
  </sheetViews>
  <sheetFormatPr defaultColWidth="14.42578125" defaultRowHeight="15" customHeight="1"/>
  <cols>
    <col min="1" max="40" width="2.140625" customWidth="1"/>
  </cols>
  <sheetData>
    <row r="1" spans="1:40" ht="16.5" customHeight="1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</row>
    <row r="2" spans="1:40" ht="16.5" customHeight="1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</row>
    <row r="3" spans="1:40" ht="16.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:40" ht="19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44" t="s">
        <v>466</v>
      </c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</row>
    <row r="5" spans="1:40" ht="19.5" customHeight="1">
      <c r="A5" s="2"/>
      <c r="B5" s="15" t="s">
        <v>2</v>
      </c>
      <c r="C5" s="12"/>
      <c r="D5" s="12"/>
      <c r="E5" s="12"/>
      <c r="F5" s="16">
        <f ca="1">TODAY()</f>
        <v>46113</v>
      </c>
      <c r="G5" s="12"/>
      <c r="H5" s="12"/>
      <c r="I5" s="12"/>
      <c r="J5" s="12"/>
      <c r="K5" s="12"/>
      <c r="L5" s="12"/>
      <c r="M5" s="12"/>
      <c r="N5" s="12"/>
      <c r="O5" s="12"/>
      <c r="P5" s="12"/>
      <c r="Q5" s="2"/>
      <c r="R5" s="45" t="s">
        <v>467</v>
      </c>
      <c r="S5" s="24" t="s">
        <v>4</v>
      </c>
      <c r="T5" s="20"/>
      <c r="U5" s="20"/>
      <c r="V5" s="21"/>
      <c r="W5" s="19" t="s">
        <v>5</v>
      </c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1"/>
    </row>
    <row r="6" spans="1:40" ht="19.5" customHeight="1">
      <c r="A6" s="2"/>
      <c r="B6" s="22" t="s">
        <v>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2"/>
      <c r="P6" s="2"/>
      <c r="Q6" s="2"/>
      <c r="R6" s="46"/>
      <c r="S6" s="24" t="s">
        <v>7</v>
      </c>
      <c r="T6" s="20"/>
      <c r="U6" s="20"/>
      <c r="V6" s="21"/>
      <c r="W6" s="19" t="s">
        <v>8</v>
      </c>
      <c r="X6" s="20"/>
      <c r="Y6" s="20"/>
      <c r="Z6" s="20"/>
      <c r="AA6" s="20"/>
      <c r="AB6" s="20"/>
      <c r="AC6" s="21"/>
      <c r="AD6" s="24" t="s">
        <v>9</v>
      </c>
      <c r="AE6" s="20"/>
      <c r="AF6" s="20"/>
      <c r="AG6" s="21"/>
      <c r="AH6" s="19" t="s">
        <v>10</v>
      </c>
      <c r="AI6" s="20"/>
      <c r="AJ6" s="20"/>
      <c r="AK6" s="20"/>
      <c r="AL6" s="20"/>
      <c r="AM6" s="20"/>
      <c r="AN6" s="21"/>
    </row>
    <row r="7" spans="1:40" ht="19.5" customHeight="1">
      <c r="A7" s="2"/>
      <c r="B7" s="14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23" t="s">
        <v>11</v>
      </c>
      <c r="P7" s="14"/>
      <c r="Q7" s="2"/>
      <c r="R7" s="46"/>
      <c r="S7" s="24" t="s">
        <v>12</v>
      </c>
      <c r="T7" s="20"/>
      <c r="U7" s="20"/>
      <c r="V7" s="21"/>
      <c r="W7" s="19" t="s">
        <v>158</v>
      </c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1"/>
    </row>
    <row r="8" spans="1:40" ht="19.5" customHeigh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46"/>
      <c r="S8" s="24" t="s">
        <v>14</v>
      </c>
      <c r="T8" s="20"/>
      <c r="U8" s="20"/>
      <c r="V8" s="21"/>
      <c r="W8" s="19" t="s">
        <v>15</v>
      </c>
      <c r="X8" s="20"/>
      <c r="Y8" s="20"/>
      <c r="Z8" s="20"/>
      <c r="AA8" s="20"/>
      <c r="AB8" s="20"/>
      <c r="AC8" s="21"/>
      <c r="AD8" s="24" t="s">
        <v>16</v>
      </c>
      <c r="AE8" s="20"/>
      <c r="AF8" s="20"/>
      <c r="AG8" s="21"/>
      <c r="AH8" s="19" t="s">
        <v>17</v>
      </c>
      <c r="AI8" s="20"/>
      <c r="AJ8" s="20"/>
      <c r="AK8" s="20"/>
      <c r="AL8" s="20"/>
      <c r="AM8" s="20"/>
      <c r="AN8" s="21"/>
    </row>
    <row r="9" spans="1:40" ht="19.5" customHeight="1">
      <c r="A9" s="2"/>
      <c r="B9" s="15" t="s">
        <v>18</v>
      </c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2"/>
      <c r="R9" s="47"/>
      <c r="S9" s="24" t="s">
        <v>19</v>
      </c>
      <c r="T9" s="20"/>
      <c r="U9" s="20"/>
      <c r="V9" s="21"/>
      <c r="W9" s="19" t="s">
        <v>20</v>
      </c>
      <c r="X9" s="20"/>
      <c r="Y9" s="20"/>
      <c r="Z9" s="20"/>
      <c r="AA9" s="20"/>
      <c r="AB9" s="20"/>
      <c r="AC9" s="21"/>
      <c r="AD9" s="24" t="s">
        <v>21</v>
      </c>
      <c r="AE9" s="20"/>
      <c r="AF9" s="20"/>
      <c r="AG9" s="21"/>
      <c r="AH9" s="19" t="s">
        <v>22</v>
      </c>
      <c r="AI9" s="20"/>
      <c r="AJ9" s="20"/>
      <c r="AK9" s="20"/>
      <c r="AL9" s="20"/>
      <c r="AM9" s="20"/>
      <c r="AN9" s="21"/>
    </row>
    <row r="10" spans="1:40" ht="19.5" customHeigh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spans="1:40" ht="19.5" customHeight="1">
      <c r="A11" s="22" t="s">
        <v>23</v>
      </c>
      <c r="B11" s="12"/>
      <c r="C11" s="12"/>
      <c r="D11" s="12"/>
      <c r="E11" s="12"/>
      <c r="F11" s="26" t="str">
        <f>IF(ISERROR((NUMBERSTRING(X11,1))),"",(NUMBERSTRING(X11,1)))</f>
        <v/>
      </c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22" t="s">
        <v>24</v>
      </c>
      <c r="V11" s="12"/>
      <c r="W11" s="22" t="s">
        <v>25</v>
      </c>
      <c r="X11" s="27" t="str">
        <f>IF(SUM(AB14:AJ33)=0,"",SUM(AB14:AJ33))</f>
        <v/>
      </c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22" t="s">
        <v>26</v>
      </c>
      <c r="AN11" s="4"/>
    </row>
    <row r="12" spans="1:40" ht="19.5" customHeight="1">
      <c r="A12" s="12"/>
      <c r="B12" s="12"/>
      <c r="C12" s="12"/>
      <c r="D12" s="12"/>
      <c r="E12" s="12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5"/>
    </row>
    <row r="13" spans="1:40" ht="19.5" customHeight="1">
      <c r="A13" s="24" t="s">
        <v>27</v>
      </c>
      <c r="B13" s="21"/>
      <c r="C13" s="24" t="s">
        <v>28</v>
      </c>
      <c r="D13" s="20"/>
      <c r="E13" s="20"/>
      <c r="F13" s="20"/>
      <c r="G13" s="20"/>
      <c r="H13" s="20"/>
      <c r="I13" s="20"/>
      <c r="J13" s="20"/>
      <c r="K13" s="20"/>
      <c r="L13" s="20"/>
      <c r="M13" s="21"/>
      <c r="N13" s="24" t="s">
        <v>29</v>
      </c>
      <c r="O13" s="20"/>
      <c r="P13" s="20"/>
      <c r="Q13" s="20"/>
      <c r="R13" s="20"/>
      <c r="S13" s="20"/>
      <c r="T13" s="21"/>
      <c r="U13" s="24" t="s">
        <v>30</v>
      </c>
      <c r="V13" s="20"/>
      <c r="W13" s="21"/>
      <c r="X13" s="24" t="s">
        <v>31</v>
      </c>
      <c r="Y13" s="20"/>
      <c r="Z13" s="20"/>
      <c r="AA13" s="21"/>
      <c r="AB13" s="24" t="s">
        <v>32</v>
      </c>
      <c r="AC13" s="20"/>
      <c r="AD13" s="20"/>
      <c r="AE13" s="20"/>
      <c r="AF13" s="21"/>
      <c r="AG13" s="24" t="s">
        <v>33</v>
      </c>
      <c r="AH13" s="20"/>
      <c r="AI13" s="20"/>
      <c r="AJ13" s="21"/>
      <c r="AK13" s="24" t="s">
        <v>34</v>
      </c>
      <c r="AL13" s="20"/>
      <c r="AM13" s="20"/>
      <c r="AN13" s="21"/>
    </row>
    <row r="14" spans="1:40" ht="19.5" customHeight="1">
      <c r="A14" s="19">
        <v>1</v>
      </c>
      <c r="B14" s="21"/>
      <c r="C14" s="28" t="s">
        <v>468</v>
      </c>
      <c r="D14" s="20"/>
      <c r="E14" s="20"/>
      <c r="F14" s="20"/>
      <c r="G14" s="20"/>
      <c r="H14" s="20"/>
      <c r="I14" s="20"/>
      <c r="J14" s="20"/>
      <c r="K14" s="20"/>
      <c r="L14" s="20"/>
      <c r="M14" s="21"/>
      <c r="N14" s="19" t="s">
        <v>469</v>
      </c>
      <c r="O14" s="20"/>
      <c r="P14" s="40" t="s">
        <v>470</v>
      </c>
      <c r="Q14" s="20"/>
      <c r="R14" s="20"/>
      <c r="S14" s="20"/>
      <c r="T14" s="21"/>
      <c r="U14" s="29">
        <v>140</v>
      </c>
      <c r="V14" s="20"/>
      <c r="W14" s="21"/>
      <c r="X14" s="25"/>
      <c r="Y14" s="20"/>
      <c r="Z14" s="20"/>
      <c r="AA14" s="21"/>
      <c r="AB14" s="25"/>
      <c r="AC14" s="20"/>
      <c r="AD14" s="20"/>
      <c r="AE14" s="20"/>
      <c r="AF14" s="21"/>
      <c r="AG14" s="25"/>
      <c r="AH14" s="20"/>
      <c r="AI14" s="20"/>
      <c r="AJ14" s="21"/>
      <c r="AK14" s="19"/>
      <c r="AL14" s="20"/>
      <c r="AM14" s="20"/>
      <c r="AN14" s="21"/>
    </row>
    <row r="15" spans="1:40" ht="19.5" customHeight="1">
      <c r="A15" s="19">
        <v>2</v>
      </c>
      <c r="B15" s="21"/>
      <c r="C15" s="28" t="s">
        <v>471</v>
      </c>
      <c r="D15" s="20"/>
      <c r="E15" s="20"/>
      <c r="F15" s="20"/>
      <c r="G15" s="20"/>
      <c r="H15" s="20"/>
      <c r="I15" s="20"/>
      <c r="J15" s="20"/>
      <c r="K15" s="20"/>
      <c r="L15" s="20"/>
      <c r="M15" s="21"/>
      <c r="N15" s="19" t="s">
        <v>472</v>
      </c>
      <c r="O15" s="20"/>
      <c r="P15" s="40" t="s">
        <v>473</v>
      </c>
      <c r="Q15" s="20"/>
      <c r="R15" s="20"/>
      <c r="S15" s="20"/>
      <c r="T15" s="21"/>
      <c r="U15" s="29">
        <v>25</v>
      </c>
      <c r="V15" s="20"/>
      <c r="W15" s="21"/>
      <c r="X15" s="25"/>
      <c r="Y15" s="20"/>
      <c r="Z15" s="20"/>
      <c r="AA15" s="21"/>
      <c r="AB15" s="25"/>
      <c r="AC15" s="20"/>
      <c r="AD15" s="20"/>
      <c r="AE15" s="20"/>
      <c r="AF15" s="21"/>
      <c r="AG15" s="25"/>
      <c r="AH15" s="20"/>
      <c r="AI15" s="20"/>
      <c r="AJ15" s="21"/>
      <c r="AK15" s="19"/>
      <c r="AL15" s="20"/>
      <c r="AM15" s="20"/>
      <c r="AN15" s="21"/>
    </row>
    <row r="16" spans="1:40" ht="19.5" customHeight="1">
      <c r="A16" s="19">
        <v>3</v>
      </c>
      <c r="B16" s="21"/>
      <c r="C16" s="28" t="s">
        <v>474</v>
      </c>
      <c r="D16" s="20"/>
      <c r="E16" s="20"/>
      <c r="F16" s="20"/>
      <c r="G16" s="20"/>
      <c r="H16" s="20"/>
      <c r="I16" s="20"/>
      <c r="J16" s="20"/>
      <c r="K16" s="20"/>
      <c r="L16" s="20"/>
      <c r="M16" s="21"/>
      <c r="N16" s="19" t="s">
        <v>475</v>
      </c>
      <c r="O16" s="20"/>
      <c r="P16" s="20"/>
      <c r="Q16" s="20"/>
      <c r="R16" s="20"/>
      <c r="S16" s="20"/>
      <c r="T16" s="21"/>
      <c r="U16" s="29">
        <v>25</v>
      </c>
      <c r="V16" s="20"/>
      <c r="W16" s="21"/>
      <c r="X16" s="25"/>
      <c r="Y16" s="20"/>
      <c r="Z16" s="20"/>
      <c r="AA16" s="21"/>
      <c r="AB16" s="25"/>
      <c r="AC16" s="20"/>
      <c r="AD16" s="20"/>
      <c r="AE16" s="20"/>
      <c r="AF16" s="21"/>
      <c r="AG16" s="25"/>
      <c r="AH16" s="20"/>
      <c r="AI16" s="20"/>
      <c r="AJ16" s="21"/>
      <c r="AK16" s="19"/>
      <c r="AL16" s="20"/>
      <c r="AM16" s="20"/>
      <c r="AN16" s="21"/>
    </row>
    <row r="17" spans="1:40" ht="19.5" customHeight="1">
      <c r="A17" s="19">
        <v>4</v>
      </c>
      <c r="B17" s="21"/>
      <c r="C17" s="28"/>
      <c r="D17" s="20"/>
      <c r="E17" s="20"/>
      <c r="F17" s="20"/>
      <c r="G17" s="20"/>
      <c r="H17" s="20"/>
      <c r="I17" s="20"/>
      <c r="J17" s="20"/>
      <c r="K17" s="20"/>
      <c r="L17" s="20"/>
      <c r="M17" s="21"/>
      <c r="N17" s="19"/>
      <c r="O17" s="20"/>
      <c r="P17" s="20"/>
      <c r="Q17" s="20"/>
      <c r="R17" s="20"/>
      <c r="S17" s="20"/>
      <c r="T17" s="21"/>
      <c r="U17" s="29"/>
      <c r="V17" s="20"/>
      <c r="W17" s="21"/>
      <c r="X17" s="25"/>
      <c r="Y17" s="20"/>
      <c r="Z17" s="20"/>
      <c r="AA17" s="21"/>
      <c r="AB17" s="25"/>
      <c r="AC17" s="20"/>
      <c r="AD17" s="20"/>
      <c r="AE17" s="20"/>
      <c r="AF17" s="21"/>
      <c r="AG17" s="25"/>
      <c r="AH17" s="20"/>
      <c r="AI17" s="20"/>
      <c r="AJ17" s="21"/>
      <c r="AK17" s="19"/>
      <c r="AL17" s="20"/>
      <c r="AM17" s="20"/>
      <c r="AN17" s="21"/>
    </row>
    <row r="18" spans="1:40" ht="19.5" customHeight="1">
      <c r="A18" s="19">
        <v>5</v>
      </c>
      <c r="B18" s="21"/>
      <c r="C18" s="28" t="s">
        <v>476</v>
      </c>
      <c r="D18" s="20"/>
      <c r="E18" s="20"/>
      <c r="F18" s="20"/>
      <c r="G18" s="20"/>
      <c r="H18" s="20"/>
      <c r="I18" s="20"/>
      <c r="J18" s="20"/>
      <c r="K18" s="20"/>
      <c r="L18" s="20"/>
      <c r="M18" s="21"/>
      <c r="N18" s="19" t="s">
        <v>477</v>
      </c>
      <c r="O18" s="20"/>
      <c r="P18" s="20"/>
      <c r="Q18" s="20"/>
      <c r="R18" s="20"/>
      <c r="S18" s="20"/>
      <c r="T18" s="21"/>
      <c r="U18" s="29">
        <v>50</v>
      </c>
      <c r="V18" s="20"/>
      <c r="W18" s="21"/>
      <c r="X18" s="25"/>
      <c r="Y18" s="20"/>
      <c r="Z18" s="20"/>
      <c r="AA18" s="21"/>
      <c r="AB18" s="25"/>
      <c r="AC18" s="20"/>
      <c r="AD18" s="20"/>
      <c r="AE18" s="20"/>
      <c r="AF18" s="21"/>
      <c r="AG18" s="25"/>
      <c r="AH18" s="20"/>
      <c r="AI18" s="20"/>
      <c r="AJ18" s="21"/>
      <c r="AK18" s="19" t="s">
        <v>478</v>
      </c>
      <c r="AL18" s="20"/>
      <c r="AM18" s="20"/>
      <c r="AN18" s="21"/>
    </row>
    <row r="19" spans="1:40" ht="19.5" customHeight="1">
      <c r="A19" s="19">
        <v>6</v>
      </c>
      <c r="B19" s="21"/>
      <c r="C19" s="28" t="s">
        <v>479</v>
      </c>
      <c r="D19" s="20"/>
      <c r="E19" s="20"/>
      <c r="F19" s="20"/>
      <c r="G19" s="20"/>
      <c r="H19" s="20"/>
      <c r="I19" s="20"/>
      <c r="J19" s="20"/>
      <c r="K19" s="20"/>
      <c r="L19" s="20"/>
      <c r="M19" s="21"/>
      <c r="N19" s="19" t="s">
        <v>480</v>
      </c>
      <c r="O19" s="20"/>
      <c r="P19" s="20"/>
      <c r="Q19" s="20"/>
      <c r="R19" s="20"/>
      <c r="S19" s="20"/>
      <c r="T19" s="21"/>
      <c r="U19" s="29">
        <v>50</v>
      </c>
      <c r="V19" s="20"/>
      <c r="W19" s="21"/>
      <c r="X19" s="25"/>
      <c r="Y19" s="20"/>
      <c r="Z19" s="20"/>
      <c r="AA19" s="21"/>
      <c r="AB19" s="25"/>
      <c r="AC19" s="20"/>
      <c r="AD19" s="20"/>
      <c r="AE19" s="20"/>
      <c r="AF19" s="21"/>
      <c r="AG19" s="25"/>
      <c r="AH19" s="20"/>
      <c r="AI19" s="20"/>
      <c r="AJ19" s="21"/>
      <c r="AK19" s="19" t="s">
        <v>478</v>
      </c>
      <c r="AL19" s="20"/>
      <c r="AM19" s="20"/>
      <c r="AN19" s="21"/>
    </row>
    <row r="20" spans="1:40" ht="19.5" customHeight="1">
      <c r="A20" s="19">
        <v>7</v>
      </c>
      <c r="B20" s="21"/>
      <c r="C20" s="28" t="s">
        <v>481</v>
      </c>
      <c r="D20" s="20"/>
      <c r="E20" s="20"/>
      <c r="F20" s="20"/>
      <c r="G20" s="20"/>
      <c r="H20" s="20"/>
      <c r="I20" s="20"/>
      <c r="J20" s="20"/>
      <c r="K20" s="20"/>
      <c r="L20" s="20"/>
      <c r="M20" s="21"/>
      <c r="N20" s="19" t="s">
        <v>472</v>
      </c>
      <c r="O20" s="20"/>
      <c r="P20" s="40" t="s">
        <v>482</v>
      </c>
      <c r="Q20" s="20"/>
      <c r="R20" s="20"/>
      <c r="S20" s="20"/>
      <c r="T20" s="21"/>
      <c r="U20" s="29"/>
      <c r="V20" s="20"/>
      <c r="W20" s="21"/>
      <c r="X20" s="25"/>
      <c r="Y20" s="20"/>
      <c r="Z20" s="20"/>
      <c r="AA20" s="21"/>
      <c r="AB20" s="25"/>
      <c r="AC20" s="20"/>
      <c r="AD20" s="20"/>
      <c r="AE20" s="20"/>
      <c r="AF20" s="21"/>
      <c r="AG20" s="25"/>
      <c r="AH20" s="20"/>
      <c r="AI20" s="20"/>
      <c r="AJ20" s="21"/>
      <c r="AK20" s="19"/>
      <c r="AL20" s="20"/>
      <c r="AM20" s="20"/>
      <c r="AN20" s="21"/>
    </row>
    <row r="21" spans="1:40" ht="19.5" customHeight="1">
      <c r="A21" s="19">
        <v>8</v>
      </c>
      <c r="B21" s="21"/>
      <c r="C21" s="28" t="s">
        <v>483</v>
      </c>
      <c r="D21" s="20"/>
      <c r="E21" s="20"/>
      <c r="F21" s="20"/>
      <c r="G21" s="20"/>
      <c r="H21" s="20"/>
      <c r="I21" s="20"/>
      <c r="J21" s="20"/>
      <c r="K21" s="20"/>
      <c r="L21" s="20"/>
      <c r="M21" s="21"/>
      <c r="N21" s="19" t="s">
        <v>472</v>
      </c>
      <c r="O21" s="20"/>
      <c r="P21" s="40" t="s">
        <v>484</v>
      </c>
      <c r="Q21" s="20"/>
      <c r="R21" s="20"/>
      <c r="S21" s="20"/>
      <c r="T21" s="21"/>
      <c r="U21" s="29"/>
      <c r="V21" s="20"/>
      <c r="W21" s="21"/>
      <c r="X21" s="25"/>
      <c r="Y21" s="20"/>
      <c r="Z21" s="20"/>
      <c r="AA21" s="21"/>
      <c r="AB21" s="25"/>
      <c r="AC21" s="20"/>
      <c r="AD21" s="20"/>
      <c r="AE21" s="20"/>
      <c r="AF21" s="21"/>
      <c r="AG21" s="25"/>
      <c r="AH21" s="20"/>
      <c r="AI21" s="20"/>
      <c r="AJ21" s="21"/>
      <c r="AK21" s="19" t="s">
        <v>478</v>
      </c>
      <c r="AL21" s="20"/>
      <c r="AM21" s="20"/>
      <c r="AN21" s="21"/>
    </row>
    <row r="22" spans="1:40" ht="19.5" customHeight="1">
      <c r="A22" s="19">
        <v>9</v>
      </c>
      <c r="B22" s="21"/>
      <c r="C22" s="28"/>
      <c r="D22" s="20"/>
      <c r="E22" s="20"/>
      <c r="F22" s="20"/>
      <c r="G22" s="20"/>
      <c r="H22" s="20"/>
      <c r="I22" s="20"/>
      <c r="J22" s="20"/>
      <c r="K22" s="20"/>
      <c r="L22" s="20"/>
      <c r="M22" s="21"/>
      <c r="N22" s="28"/>
      <c r="O22" s="20"/>
      <c r="P22" s="40"/>
      <c r="Q22" s="20"/>
      <c r="R22" s="20"/>
      <c r="S22" s="20"/>
      <c r="T22" s="21"/>
      <c r="U22" s="29"/>
      <c r="V22" s="20"/>
      <c r="W22" s="21"/>
      <c r="X22" s="25"/>
      <c r="Y22" s="20"/>
      <c r="Z22" s="20"/>
      <c r="AA22" s="21"/>
      <c r="AB22" s="25"/>
      <c r="AC22" s="20"/>
      <c r="AD22" s="20"/>
      <c r="AE22" s="20"/>
      <c r="AF22" s="21"/>
      <c r="AG22" s="25"/>
      <c r="AH22" s="20"/>
      <c r="AI22" s="20"/>
      <c r="AJ22" s="21"/>
      <c r="AK22" s="19"/>
      <c r="AL22" s="20"/>
      <c r="AM22" s="20"/>
      <c r="AN22" s="21"/>
    </row>
    <row r="23" spans="1:40" ht="19.5" customHeight="1">
      <c r="A23" s="19">
        <v>10</v>
      </c>
      <c r="B23" s="21"/>
      <c r="C23" s="28"/>
      <c r="D23" s="20"/>
      <c r="E23" s="20"/>
      <c r="F23" s="20"/>
      <c r="G23" s="20"/>
      <c r="H23" s="20"/>
      <c r="I23" s="20"/>
      <c r="J23" s="20"/>
      <c r="K23" s="20"/>
      <c r="L23" s="20"/>
      <c r="M23" s="21"/>
      <c r="N23" s="28"/>
      <c r="O23" s="20"/>
      <c r="P23" s="40"/>
      <c r="Q23" s="20"/>
      <c r="R23" s="20"/>
      <c r="S23" s="20"/>
      <c r="T23" s="21"/>
      <c r="U23" s="29"/>
      <c r="V23" s="20"/>
      <c r="W23" s="21"/>
      <c r="X23" s="25"/>
      <c r="Y23" s="20"/>
      <c r="Z23" s="20"/>
      <c r="AA23" s="21"/>
      <c r="AB23" s="25"/>
      <c r="AC23" s="20"/>
      <c r="AD23" s="20"/>
      <c r="AE23" s="20"/>
      <c r="AF23" s="21"/>
      <c r="AG23" s="25"/>
      <c r="AH23" s="20"/>
      <c r="AI23" s="20"/>
      <c r="AJ23" s="21"/>
      <c r="AK23" s="19"/>
      <c r="AL23" s="20"/>
      <c r="AM23" s="20"/>
      <c r="AN23" s="21"/>
    </row>
    <row r="24" spans="1:40" ht="19.5" customHeight="1">
      <c r="A24" s="19">
        <v>11</v>
      </c>
      <c r="B24" s="21"/>
      <c r="C24" s="28"/>
      <c r="D24" s="20"/>
      <c r="E24" s="20"/>
      <c r="F24" s="20"/>
      <c r="G24" s="20"/>
      <c r="H24" s="20"/>
      <c r="I24" s="20"/>
      <c r="J24" s="20"/>
      <c r="K24" s="20"/>
      <c r="L24" s="20"/>
      <c r="M24" s="21"/>
      <c r="N24" s="28"/>
      <c r="O24" s="20"/>
      <c r="P24" s="40"/>
      <c r="Q24" s="20"/>
      <c r="R24" s="20"/>
      <c r="S24" s="20"/>
      <c r="T24" s="21"/>
      <c r="U24" s="29"/>
      <c r="V24" s="20"/>
      <c r="W24" s="21"/>
      <c r="X24" s="25"/>
      <c r="Y24" s="20"/>
      <c r="Z24" s="20"/>
      <c r="AA24" s="21"/>
      <c r="AB24" s="25" t="str">
        <f t="shared" ref="AB24:AB33" si="0">IF(U24*X24&lt;=0,"",U24*X24)</f>
        <v/>
      </c>
      <c r="AC24" s="20"/>
      <c r="AD24" s="20"/>
      <c r="AE24" s="20"/>
      <c r="AF24" s="21"/>
      <c r="AG24" s="25" t="str">
        <f t="shared" ref="AG24:AG34" si="1">IF(AB24="","",AB24*0.1)</f>
        <v/>
      </c>
      <c r="AH24" s="20"/>
      <c r="AI24" s="20"/>
      <c r="AJ24" s="21"/>
      <c r="AK24" s="19"/>
      <c r="AL24" s="20"/>
      <c r="AM24" s="20"/>
      <c r="AN24" s="21"/>
    </row>
    <row r="25" spans="1:40" ht="19.5" customHeight="1">
      <c r="A25" s="19">
        <v>12</v>
      </c>
      <c r="B25" s="21"/>
      <c r="C25" s="28"/>
      <c r="D25" s="20"/>
      <c r="E25" s="20"/>
      <c r="F25" s="20"/>
      <c r="G25" s="20"/>
      <c r="H25" s="20"/>
      <c r="I25" s="20"/>
      <c r="J25" s="20"/>
      <c r="K25" s="20"/>
      <c r="L25" s="20"/>
      <c r="M25" s="21"/>
      <c r="N25" s="28"/>
      <c r="O25" s="20"/>
      <c r="P25" s="40"/>
      <c r="Q25" s="20"/>
      <c r="R25" s="20"/>
      <c r="S25" s="20"/>
      <c r="T25" s="21"/>
      <c r="U25" s="29"/>
      <c r="V25" s="20"/>
      <c r="W25" s="21"/>
      <c r="X25" s="25"/>
      <c r="Y25" s="20"/>
      <c r="Z25" s="20"/>
      <c r="AA25" s="21"/>
      <c r="AB25" s="25" t="str">
        <f t="shared" si="0"/>
        <v/>
      </c>
      <c r="AC25" s="20"/>
      <c r="AD25" s="20"/>
      <c r="AE25" s="20"/>
      <c r="AF25" s="21"/>
      <c r="AG25" s="25" t="str">
        <f t="shared" si="1"/>
        <v/>
      </c>
      <c r="AH25" s="20"/>
      <c r="AI25" s="20"/>
      <c r="AJ25" s="21"/>
      <c r="AK25" s="19"/>
      <c r="AL25" s="20"/>
      <c r="AM25" s="20"/>
      <c r="AN25" s="21"/>
    </row>
    <row r="26" spans="1:40" ht="19.5" customHeight="1">
      <c r="A26" s="19">
        <v>13</v>
      </c>
      <c r="B26" s="21"/>
      <c r="C26" s="28"/>
      <c r="D26" s="20"/>
      <c r="E26" s="20"/>
      <c r="F26" s="20"/>
      <c r="G26" s="20"/>
      <c r="H26" s="20"/>
      <c r="I26" s="20"/>
      <c r="J26" s="20"/>
      <c r="K26" s="20"/>
      <c r="L26" s="20"/>
      <c r="M26" s="21"/>
      <c r="N26" s="28"/>
      <c r="O26" s="20"/>
      <c r="P26" s="40"/>
      <c r="Q26" s="20"/>
      <c r="R26" s="20"/>
      <c r="S26" s="20"/>
      <c r="T26" s="21"/>
      <c r="U26" s="29"/>
      <c r="V26" s="20"/>
      <c r="W26" s="21"/>
      <c r="X26" s="25"/>
      <c r="Y26" s="20"/>
      <c r="Z26" s="20"/>
      <c r="AA26" s="21"/>
      <c r="AB26" s="25" t="str">
        <f t="shared" si="0"/>
        <v/>
      </c>
      <c r="AC26" s="20"/>
      <c r="AD26" s="20"/>
      <c r="AE26" s="20"/>
      <c r="AF26" s="21"/>
      <c r="AG26" s="25" t="str">
        <f t="shared" si="1"/>
        <v/>
      </c>
      <c r="AH26" s="20"/>
      <c r="AI26" s="20"/>
      <c r="AJ26" s="21"/>
      <c r="AK26" s="19"/>
      <c r="AL26" s="20"/>
      <c r="AM26" s="20"/>
      <c r="AN26" s="21"/>
    </row>
    <row r="27" spans="1:40" ht="19.5" customHeight="1">
      <c r="A27" s="19">
        <v>14</v>
      </c>
      <c r="B27" s="21"/>
      <c r="C27" s="28"/>
      <c r="D27" s="20"/>
      <c r="E27" s="20"/>
      <c r="F27" s="20"/>
      <c r="G27" s="20"/>
      <c r="H27" s="20"/>
      <c r="I27" s="20"/>
      <c r="J27" s="20"/>
      <c r="K27" s="20"/>
      <c r="L27" s="20"/>
      <c r="M27" s="21"/>
      <c r="N27" s="28"/>
      <c r="O27" s="20"/>
      <c r="P27" s="40"/>
      <c r="Q27" s="20"/>
      <c r="R27" s="20"/>
      <c r="S27" s="20"/>
      <c r="T27" s="21"/>
      <c r="U27" s="29"/>
      <c r="V27" s="20"/>
      <c r="W27" s="21"/>
      <c r="X27" s="25"/>
      <c r="Y27" s="20"/>
      <c r="Z27" s="20"/>
      <c r="AA27" s="21"/>
      <c r="AB27" s="25" t="str">
        <f t="shared" si="0"/>
        <v/>
      </c>
      <c r="AC27" s="20"/>
      <c r="AD27" s="20"/>
      <c r="AE27" s="20"/>
      <c r="AF27" s="21"/>
      <c r="AG27" s="25" t="str">
        <f t="shared" si="1"/>
        <v/>
      </c>
      <c r="AH27" s="20"/>
      <c r="AI27" s="20"/>
      <c r="AJ27" s="21"/>
      <c r="AK27" s="19"/>
      <c r="AL27" s="20"/>
      <c r="AM27" s="20"/>
      <c r="AN27" s="21"/>
    </row>
    <row r="28" spans="1:40" ht="19.5" customHeight="1">
      <c r="A28" s="19">
        <v>15</v>
      </c>
      <c r="B28" s="21"/>
      <c r="C28" s="28"/>
      <c r="D28" s="20"/>
      <c r="E28" s="20"/>
      <c r="F28" s="20"/>
      <c r="G28" s="20"/>
      <c r="H28" s="20"/>
      <c r="I28" s="20"/>
      <c r="J28" s="20"/>
      <c r="K28" s="20"/>
      <c r="L28" s="20"/>
      <c r="M28" s="21"/>
      <c r="N28" s="28"/>
      <c r="O28" s="20"/>
      <c r="P28" s="40"/>
      <c r="Q28" s="20"/>
      <c r="R28" s="20"/>
      <c r="S28" s="20"/>
      <c r="T28" s="21"/>
      <c r="U28" s="29"/>
      <c r="V28" s="20"/>
      <c r="W28" s="21"/>
      <c r="X28" s="25"/>
      <c r="Y28" s="20"/>
      <c r="Z28" s="20"/>
      <c r="AA28" s="21"/>
      <c r="AB28" s="25" t="str">
        <f t="shared" si="0"/>
        <v/>
      </c>
      <c r="AC28" s="20"/>
      <c r="AD28" s="20"/>
      <c r="AE28" s="20"/>
      <c r="AF28" s="21"/>
      <c r="AG28" s="25" t="str">
        <f t="shared" si="1"/>
        <v/>
      </c>
      <c r="AH28" s="20"/>
      <c r="AI28" s="20"/>
      <c r="AJ28" s="21"/>
      <c r="AK28" s="19"/>
      <c r="AL28" s="20"/>
      <c r="AM28" s="20"/>
      <c r="AN28" s="21"/>
    </row>
    <row r="29" spans="1:40" ht="19.5" customHeight="1">
      <c r="A29" s="19">
        <v>16</v>
      </c>
      <c r="B29" s="21"/>
      <c r="C29" s="28"/>
      <c r="D29" s="20"/>
      <c r="E29" s="20"/>
      <c r="F29" s="20"/>
      <c r="G29" s="20"/>
      <c r="H29" s="20"/>
      <c r="I29" s="20"/>
      <c r="J29" s="20"/>
      <c r="K29" s="20"/>
      <c r="L29" s="20"/>
      <c r="M29" s="21"/>
      <c r="N29" s="28"/>
      <c r="O29" s="20"/>
      <c r="P29" s="40"/>
      <c r="Q29" s="20"/>
      <c r="R29" s="20"/>
      <c r="S29" s="20"/>
      <c r="T29" s="21"/>
      <c r="U29" s="29"/>
      <c r="V29" s="20"/>
      <c r="W29" s="21"/>
      <c r="X29" s="25"/>
      <c r="Y29" s="20"/>
      <c r="Z29" s="20"/>
      <c r="AA29" s="21"/>
      <c r="AB29" s="25" t="str">
        <f t="shared" si="0"/>
        <v/>
      </c>
      <c r="AC29" s="20"/>
      <c r="AD29" s="20"/>
      <c r="AE29" s="20"/>
      <c r="AF29" s="21"/>
      <c r="AG29" s="25" t="str">
        <f t="shared" si="1"/>
        <v/>
      </c>
      <c r="AH29" s="20"/>
      <c r="AI29" s="20"/>
      <c r="AJ29" s="21"/>
      <c r="AK29" s="19"/>
      <c r="AL29" s="20"/>
      <c r="AM29" s="20"/>
      <c r="AN29" s="21"/>
    </row>
    <row r="30" spans="1:40" ht="19.5" customHeight="1">
      <c r="A30" s="19">
        <v>17</v>
      </c>
      <c r="B30" s="21"/>
      <c r="C30" s="28"/>
      <c r="D30" s="20"/>
      <c r="E30" s="20"/>
      <c r="F30" s="20"/>
      <c r="G30" s="20"/>
      <c r="H30" s="20"/>
      <c r="I30" s="20"/>
      <c r="J30" s="20"/>
      <c r="K30" s="20"/>
      <c r="L30" s="20"/>
      <c r="M30" s="21"/>
      <c r="N30" s="19"/>
      <c r="O30" s="20"/>
      <c r="P30" s="20"/>
      <c r="Q30" s="20"/>
      <c r="R30" s="20"/>
      <c r="S30" s="20"/>
      <c r="T30" s="21"/>
      <c r="U30" s="29"/>
      <c r="V30" s="20"/>
      <c r="W30" s="21"/>
      <c r="X30" s="25"/>
      <c r="Y30" s="20"/>
      <c r="Z30" s="20"/>
      <c r="AA30" s="21"/>
      <c r="AB30" s="25" t="str">
        <f t="shared" si="0"/>
        <v/>
      </c>
      <c r="AC30" s="20"/>
      <c r="AD30" s="20"/>
      <c r="AE30" s="20"/>
      <c r="AF30" s="21"/>
      <c r="AG30" s="25" t="str">
        <f t="shared" si="1"/>
        <v/>
      </c>
      <c r="AH30" s="20"/>
      <c r="AI30" s="20"/>
      <c r="AJ30" s="21"/>
      <c r="AK30" s="19"/>
      <c r="AL30" s="20"/>
      <c r="AM30" s="20"/>
      <c r="AN30" s="21"/>
    </row>
    <row r="31" spans="1:40" ht="19.5" customHeight="1">
      <c r="A31" s="19">
        <v>18</v>
      </c>
      <c r="B31" s="21"/>
      <c r="C31" s="28"/>
      <c r="D31" s="20"/>
      <c r="E31" s="20"/>
      <c r="F31" s="20"/>
      <c r="G31" s="20"/>
      <c r="H31" s="20"/>
      <c r="I31" s="20"/>
      <c r="J31" s="20"/>
      <c r="K31" s="20"/>
      <c r="L31" s="20"/>
      <c r="M31" s="21"/>
      <c r="N31" s="19"/>
      <c r="O31" s="20"/>
      <c r="P31" s="20"/>
      <c r="Q31" s="20"/>
      <c r="R31" s="20"/>
      <c r="S31" s="20"/>
      <c r="T31" s="21"/>
      <c r="U31" s="29"/>
      <c r="V31" s="20"/>
      <c r="W31" s="21"/>
      <c r="X31" s="25"/>
      <c r="Y31" s="20"/>
      <c r="Z31" s="20"/>
      <c r="AA31" s="21"/>
      <c r="AB31" s="25" t="str">
        <f t="shared" si="0"/>
        <v/>
      </c>
      <c r="AC31" s="20"/>
      <c r="AD31" s="20"/>
      <c r="AE31" s="20"/>
      <c r="AF31" s="21"/>
      <c r="AG31" s="25" t="str">
        <f t="shared" si="1"/>
        <v/>
      </c>
      <c r="AH31" s="20"/>
      <c r="AI31" s="20"/>
      <c r="AJ31" s="21"/>
      <c r="AK31" s="19"/>
      <c r="AL31" s="20"/>
      <c r="AM31" s="20"/>
      <c r="AN31" s="21"/>
    </row>
    <row r="32" spans="1:40" ht="19.5" customHeight="1">
      <c r="A32" s="19">
        <v>19</v>
      </c>
      <c r="B32" s="21"/>
      <c r="C32" s="28"/>
      <c r="D32" s="20"/>
      <c r="E32" s="20"/>
      <c r="F32" s="20"/>
      <c r="G32" s="20"/>
      <c r="H32" s="20"/>
      <c r="I32" s="20"/>
      <c r="J32" s="20"/>
      <c r="K32" s="20"/>
      <c r="L32" s="20"/>
      <c r="M32" s="21"/>
      <c r="N32" s="19"/>
      <c r="O32" s="20"/>
      <c r="P32" s="20"/>
      <c r="Q32" s="20"/>
      <c r="R32" s="20"/>
      <c r="S32" s="20"/>
      <c r="T32" s="21"/>
      <c r="U32" s="29"/>
      <c r="V32" s="20"/>
      <c r="W32" s="21"/>
      <c r="X32" s="25"/>
      <c r="Y32" s="20"/>
      <c r="Z32" s="20"/>
      <c r="AA32" s="21"/>
      <c r="AB32" s="25" t="str">
        <f t="shared" si="0"/>
        <v/>
      </c>
      <c r="AC32" s="20"/>
      <c r="AD32" s="20"/>
      <c r="AE32" s="20"/>
      <c r="AF32" s="21"/>
      <c r="AG32" s="25" t="str">
        <f t="shared" si="1"/>
        <v/>
      </c>
      <c r="AH32" s="20"/>
      <c r="AI32" s="20"/>
      <c r="AJ32" s="21"/>
      <c r="AK32" s="19"/>
      <c r="AL32" s="20"/>
      <c r="AM32" s="20"/>
      <c r="AN32" s="21"/>
    </row>
    <row r="33" spans="1:40" ht="19.5" customHeight="1">
      <c r="A33" s="19">
        <v>20</v>
      </c>
      <c r="B33" s="21"/>
      <c r="C33" s="28"/>
      <c r="D33" s="20"/>
      <c r="E33" s="20"/>
      <c r="F33" s="20"/>
      <c r="G33" s="20"/>
      <c r="H33" s="20"/>
      <c r="I33" s="20"/>
      <c r="J33" s="20"/>
      <c r="K33" s="20"/>
      <c r="L33" s="20"/>
      <c r="M33" s="21"/>
      <c r="N33" s="19"/>
      <c r="O33" s="20"/>
      <c r="P33" s="20"/>
      <c r="Q33" s="20"/>
      <c r="R33" s="20"/>
      <c r="S33" s="20"/>
      <c r="T33" s="21"/>
      <c r="U33" s="29"/>
      <c r="V33" s="20"/>
      <c r="W33" s="21"/>
      <c r="X33" s="25"/>
      <c r="Y33" s="20"/>
      <c r="Z33" s="20"/>
      <c r="AA33" s="21"/>
      <c r="AB33" s="25" t="str">
        <f t="shared" si="0"/>
        <v/>
      </c>
      <c r="AC33" s="20"/>
      <c r="AD33" s="20"/>
      <c r="AE33" s="20"/>
      <c r="AF33" s="21"/>
      <c r="AG33" s="25" t="str">
        <f t="shared" si="1"/>
        <v/>
      </c>
      <c r="AH33" s="20"/>
      <c r="AI33" s="20"/>
      <c r="AJ33" s="21"/>
      <c r="AK33" s="19"/>
      <c r="AL33" s="20"/>
      <c r="AM33" s="20"/>
      <c r="AN33" s="21"/>
    </row>
    <row r="34" spans="1:40" ht="19.5" customHeight="1">
      <c r="A34" s="24" t="s">
        <v>54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1"/>
      <c r="AB34" s="25" t="str">
        <f>IF(SUM(AB14:AF33)&lt;=0,"",SUM(AB14:AF33))</f>
        <v/>
      </c>
      <c r="AC34" s="20"/>
      <c r="AD34" s="20"/>
      <c r="AE34" s="20"/>
      <c r="AF34" s="21"/>
      <c r="AG34" s="25" t="str">
        <f t="shared" si="1"/>
        <v/>
      </c>
      <c r="AH34" s="20"/>
      <c r="AI34" s="20"/>
      <c r="AJ34" s="21"/>
      <c r="AK34" s="19"/>
      <c r="AL34" s="20"/>
      <c r="AM34" s="20"/>
      <c r="AN34" s="21"/>
    </row>
    <row r="35" spans="1:40" ht="19.5" customHeight="1">
      <c r="A35" s="38" t="s">
        <v>55</v>
      </c>
      <c r="B35" s="36"/>
      <c r="C35" s="36"/>
      <c r="D35" s="36"/>
      <c r="E35" s="36"/>
      <c r="F35" s="48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6"/>
      <c r="AG35" s="36"/>
      <c r="AH35" s="36"/>
      <c r="AI35" s="36"/>
      <c r="AJ35" s="36"/>
      <c r="AK35" s="36"/>
      <c r="AL35" s="36"/>
      <c r="AM35" s="36"/>
      <c r="AN35" s="37"/>
    </row>
    <row r="36" spans="1:40" ht="19.5" customHeight="1">
      <c r="A36" s="39" t="s">
        <v>56</v>
      </c>
      <c r="B36" s="12"/>
      <c r="C36" s="12"/>
      <c r="D36" s="12"/>
      <c r="E36" s="12"/>
      <c r="F36" s="15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8"/>
    </row>
    <row r="37" spans="1:40" ht="19.5" customHeight="1">
      <c r="A37" s="39" t="s">
        <v>57</v>
      </c>
      <c r="B37" s="12"/>
      <c r="C37" s="12"/>
      <c r="D37" s="12"/>
      <c r="E37" s="12"/>
      <c r="F37" s="15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8"/>
    </row>
    <row r="38" spans="1:40" ht="19.5" customHeight="1">
      <c r="A38" s="31" t="s">
        <v>58</v>
      </c>
      <c r="B38" s="14"/>
      <c r="C38" s="14"/>
      <c r="D38" s="14"/>
      <c r="E38" s="14"/>
      <c r="F38" s="32" t="s">
        <v>59</v>
      </c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33"/>
    </row>
    <row r="39" spans="1:40" ht="16.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spans="1:40" ht="16.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spans="1:40" ht="16.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spans="1:40" ht="16.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spans="1:40" ht="16.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spans="1:40" ht="16.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spans="1:40" ht="16.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spans="1:40" ht="16.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spans="1:40" ht="16.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spans="1:40" ht="16.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spans="1:40" ht="16.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spans="1:40" ht="16.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spans="1:40" ht="16.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spans="1:40" ht="16.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spans="1:40" ht="16.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spans="1:40" ht="16.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spans="1:40" ht="16.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spans="1:40" ht="16.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spans="1:40" ht="16.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spans="1:40" ht="16.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spans="1:40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spans="1:40" ht="16.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spans="1:40" ht="16.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spans="1:40" ht="16.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spans="1:40" ht="16.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spans="1:40" ht="16.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spans="1:40" ht="16.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spans="1:40" ht="16.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spans="1:40" ht="16.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spans="1:40" ht="16.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spans="1:40" ht="16.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spans="1:40" ht="16.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spans="1:40" ht="16.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spans="1:40" ht="16.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spans="1:40" ht="16.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spans="1:40" ht="16.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spans="1:40" ht="16.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spans="1:40" ht="16.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spans="1:40" ht="16.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spans="1:40" ht="16.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spans="1:40" ht="16.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ht="16.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spans="1:40" ht="16.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spans="1:40" ht="16.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spans="1:40" ht="16.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spans="1:40" ht="16.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spans="1:40" ht="16.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spans="1:40" ht="16.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spans="1:40" ht="16.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spans="1:40" ht="16.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spans="1:40" ht="16.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spans="1:40" ht="16.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spans="1:40" ht="16.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spans="1:40" ht="16.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spans="1:40" ht="16.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spans="1:40" ht="16.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spans="1:40" ht="16.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spans="1:40" ht="16.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spans="1:40" ht="16.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spans="1:40" ht="16.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spans="1:40" ht="16.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spans="1:40" ht="16.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spans="1:40" ht="16.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spans="1:40" ht="16.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spans="1:40" ht="16.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spans="1:40" ht="16.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spans="1:40" ht="16.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spans="1:40" ht="16.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spans="1:40" ht="16.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spans="1:40" ht="16.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spans="1:40" ht="16.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spans="1:40" ht="16.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spans="1:40" ht="16.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spans="1:40" ht="16.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spans="1:40" ht="16.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spans="1:40" ht="16.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spans="1:40" ht="16.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spans="1:40" ht="16.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spans="1:40" ht="16.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spans="1:40" ht="16.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spans="1:40" ht="16.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spans="1:40" ht="16.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spans="1:40" ht="16.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spans="1:40" ht="16.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spans="1:40" ht="16.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spans="1:40" ht="16.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spans="1:40" ht="16.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spans="1:40" ht="16.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spans="1:40" ht="16.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spans="1:40" ht="16.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spans="1:40" ht="16.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spans="1:40" ht="16.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spans="1:40" ht="16.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spans="1:40" ht="16.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spans="1:40" ht="16.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spans="1:40" ht="16.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spans="1:40" ht="16.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spans="1:40" ht="16.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spans="1:40" ht="16.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spans="1:40" ht="16.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spans="1:40" ht="16.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spans="1:40" ht="16.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spans="1:40" ht="16.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spans="1:40" ht="16.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spans="1:40" ht="16.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spans="1:40" ht="16.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spans="1:40" ht="16.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spans="1:40" ht="16.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spans="1:40" ht="16.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spans="1:40" ht="16.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spans="1:40" ht="16.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spans="1:40" ht="16.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spans="1:40" ht="16.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spans="1:40" ht="16.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spans="1:40" ht="16.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spans="1:40" ht="16.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spans="1:40" ht="16.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spans="1:40" ht="16.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spans="1:40" ht="16.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spans="1:40" ht="16.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spans="1:40" ht="16.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spans="1:40" ht="16.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spans="1:40" ht="16.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spans="1:40" ht="16.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spans="1:40" ht="16.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spans="1:40" ht="16.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spans="1:40" ht="16.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spans="1:40" ht="16.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spans="1:40" ht="16.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spans="1:40" ht="16.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spans="1:40" ht="16.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spans="1:40" ht="16.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spans="1:40" ht="16.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spans="1:40" ht="16.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spans="1:40" ht="16.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spans="1:40" ht="16.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spans="1:40" ht="16.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spans="1:40" ht="16.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spans="1:40" ht="16.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spans="1:40" ht="16.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spans="1:40" ht="16.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spans="1:40" ht="16.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spans="1:40" ht="16.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spans="1:40" ht="16.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spans="1:40" ht="16.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spans="1:40" ht="16.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spans="1:40" ht="16.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spans="1:40" ht="16.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spans="1:40" ht="16.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spans="1:40" ht="16.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spans="1:40" ht="16.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spans="1:40" ht="16.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spans="1:40" ht="16.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spans="1:40" ht="16.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spans="1:40" ht="16.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spans="1:40" ht="16.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spans="1:40" ht="16.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spans="1:40" ht="16.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spans="1:40" ht="16.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spans="1:40" ht="16.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spans="1:40" ht="16.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spans="1:40" ht="16.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spans="1:40" ht="16.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spans="1:40" ht="16.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spans="1:40" ht="16.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spans="1:40" ht="16.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spans="1:40" ht="16.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spans="1:40" ht="16.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spans="1:40" ht="16.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spans="1:40" ht="16.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spans="1:40" ht="16.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spans="1:40" ht="16.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spans="1:40" ht="16.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spans="1:40" ht="16.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spans="1:40" ht="16.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spans="1:40" ht="16.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spans="1:40" ht="16.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spans="1:40" ht="16.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spans="1:40" ht="16.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spans="1:40" ht="16.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spans="1:40" ht="16.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spans="1:40" ht="16.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spans="1:40" ht="16.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spans="1:40" ht="16.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spans="1:40" ht="16.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spans="1:40" ht="16.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spans="1:40" ht="16.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spans="1:40" ht="16.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spans="1:40" ht="16.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spans="1:40" ht="16.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spans="1:40" ht="16.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spans="1:40" ht="16.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spans="1:40" ht="16.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spans="1:40" ht="16.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spans="1:40" ht="16.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spans="1:40" ht="16.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spans="1:40" ht="16.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spans="1:40" ht="16.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spans="1:40" ht="16.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spans="1:40" ht="16.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spans="1:40" ht="15.75" customHeight="1"/>
    <row r="240" spans="1: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2">
    <mergeCell ref="AG29:AJ29"/>
    <mergeCell ref="AK29:AN29"/>
    <mergeCell ref="A29:B29"/>
    <mergeCell ref="C29:M29"/>
    <mergeCell ref="N29:O29"/>
    <mergeCell ref="P29:T29"/>
    <mergeCell ref="U29:W29"/>
    <mergeCell ref="X29:AA29"/>
    <mergeCell ref="AB29:AF29"/>
    <mergeCell ref="AG28:AJ28"/>
    <mergeCell ref="AK28:AN28"/>
    <mergeCell ref="A28:B28"/>
    <mergeCell ref="C28:M28"/>
    <mergeCell ref="N28:O28"/>
    <mergeCell ref="P28:T28"/>
    <mergeCell ref="U28:W28"/>
    <mergeCell ref="X28:AA28"/>
    <mergeCell ref="AB28:AF28"/>
    <mergeCell ref="AG27:AJ27"/>
    <mergeCell ref="AK27:AN27"/>
    <mergeCell ref="A27:B27"/>
    <mergeCell ref="C27:M27"/>
    <mergeCell ref="N27:O27"/>
    <mergeCell ref="P27:T27"/>
    <mergeCell ref="U27:W27"/>
    <mergeCell ref="X27:AA27"/>
    <mergeCell ref="AB27:AF27"/>
    <mergeCell ref="AG26:AJ26"/>
    <mergeCell ref="AK26:AN26"/>
    <mergeCell ref="A26:B26"/>
    <mergeCell ref="C26:M26"/>
    <mergeCell ref="N26:O26"/>
    <mergeCell ref="P26:T26"/>
    <mergeCell ref="U26:W26"/>
    <mergeCell ref="X26:AA26"/>
    <mergeCell ref="AB26:AF26"/>
    <mergeCell ref="AG25:AJ25"/>
    <mergeCell ref="AK25:AN25"/>
    <mergeCell ref="A25:B25"/>
    <mergeCell ref="C25:M25"/>
    <mergeCell ref="N25:O25"/>
    <mergeCell ref="P25:T25"/>
    <mergeCell ref="U25:W25"/>
    <mergeCell ref="X25:AA25"/>
    <mergeCell ref="AB25:AF25"/>
    <mergeCell ref="AK23:AN23"/>
    <mergeCell ref="A23:B23"/>
    <mergeCell ref="C23:M23"/>
    <mergeCell ref="N23:O23"/>
    <mergeCell ref="P23:T23"/>
    <mergeCell ref="U23:W23"/>
    <mergeCell ref="X23:AA23"/>
    <mergeCell ref="AB23:AF23"/>
    <mergeCell ref="AG24:AJ24"/>
    <mergeCell ref="AK24:AN24"/>
    <mergeCell ref="A24:B24"/>
    <mergeCell ref="C24:M24"/>
    <mergeCell ref="N24:O24"/>
    <mergeCell ref="P24:T24"/>
    <mergeCell ref="U24:W24"/>
    <mergeCell ref="X24:AA24"/>
    <mergeCell ref="AB24:AF24"/>
    <mergeCell ref="AG23:AJ23"/>
    <mergeCell ref="AM11:AM12"/>
    <mergeCell ref="AG13:AJ13"/>
    <mergeCell ref="AK13:AN13"/>
    <mergeCell ref="A11:E12"/>
    <mergeCell ref="A13:B13"/>
    <mergeCell ref="C13:M13"/>
    <mergeCell ref="N13:T13"/>
    <mergeCell ref="U13:W13"/>
    <mergeCell ref="X13:AA13"/>
    <mergeCell ref="AB13:AF13"/>
    <mergeCell ref="F11:T12"/>
    <mergeCell ref="U11:V12"/>
    <mergeCell ref="W11:W12"/>
    <mergeCell ref="X11:AL12"/>
    <mergeCell ref="A1:AN2"/>
    <mergeCell ref="R4:AN4"/>
    <mergeCell ref="B5:E5"/>
    <mergeCell ref="F5:P5"/>
    <mergeCell ref="R5:R9"/>
    <mergeCell ref="W5:AN5"/>
    <mergeCell ref="AH6:AN6"/>
    <mergeCell ref="AH9:AN9"/>
    <mergeCell ref="B6:N7"/>
    <mergeCell ref="O7:P7"/>
    <mergeCell ref="B9:P9"/>
    <mergeCell ref="S9:V9"/>
    <mergeCell ref="W9:AC9"/>
    <mergeCell ref="AD9:AG9"/>
    <mergeCell ref="S5:V5"/>
    <mergeCell ref="S6:V6"/>
    <mergeCell ref="W6:AC6"/>
    <mergeCell ref="AD6:AG6"/>
    <mergeCell ref="S7:V7"/>
    <mergeCell ref="W7:AN7"/>
    <mergeCell ref="S8:V8"/>
    <mergeCell ref="W8:AC8"/>
    <mergeCell ref="AD8:AG8"/>
    <mergeCell ref="AH8:AN8"/>
    <mergeCell ref="A33:B33"/>
    <mergeCell ref="C33:M33"/>
    <mergeCell ref="N33:T33"/>
    <mergeCell ref="U33:W33"/>
    <mergeCell ref="X33:AA33"/>
    <mergeCell ref="AB33:AF33"/>
    <mergeCell ref="A36:E36"/>
    <mergeCell ref="A37:E37"/>
    <mergeCell ref="A38:E38"/>
    <mergeCell ref="F37:AN37"/>
    <mergeCell ref="F38:AN38"/>
    <mergeCell ref="A34:AA34"/>
    <mergeCell ref="AB34:AF34"/>
    <mergeCell ref="AG34:AJ34"/>
    <mergeCell ref="AK34:AN34"/>
    <mergeCell ref="A35:E35"/>
    <mergeCell ref="F35:AN35"/>
    <mergeCell ref="F36:AN36"/>
    <mergeCell ref="AG33:AJ33"/>
    <mergeCell ref="AK33:AN33"/>
    <mergeCell ref="AK30:AN30"/>
    <mergeCell ref="A30:B30"/>
    <mergeCell ref="A31:B31"/>
    <mergeCell ref="C31:M31"/>
    <mergeCell ref="N31:T31"/>
    <mergeCell ref="U31:W31"/>
    <mergeCell ref="X31:AA31"/>
    <mergeCell ref="AB31:AF31"/>
    <mergeCell ref="AB32:AF32"/>
    <mergeCell ref="AG32:AJ32"/>
    <mergeCell ref="AG31:AJ31"/>
    <mergeCell ref="AK31:AN31"/>
    <mergeCell ref="C32:M32"/>
    <mergeCell ref="N32:T32"/>
    <mergeCell ref="U32:W32"/>
    <mergeCell ref="X32:AA32"/>
    <mergeCell ref="AK32:AN32"/>
    <mergeCell ref="A32:B32"/>
    <mergeCell ref="C30:M30"/>
    <mergeCell ref="N30:T30"/>
    <mergeCell ref="U30:W30"/>
    <mergeCell ref="X30:AA30"/>
    <mergeCell ref="AB30:AF30"/>
    <mergeCell ref="AG30:AJ30"/>
    <mergeCell ref="AG14:AJ14"/>
    <mergeCell ref="AK14:AN14"/>
    <mergeCell ref="A14:B14"/>
    <mergeCell ref="C14:M14"/>
    <mergeCell ref="N14:O14"/>
    <mergeCell ref="P14:T14"/>
    <mergeCell ref="U14:W14"/>
    <mergeCell ref="X14:AA14"/>
    <mergeCell ref="AB14:AF14"/>
    <mergeCell ref="AG22:AJ22"/>
    <mergeCell ref="AK22:AN22"/>
    <mergeCell ref="A22:B22"/>
    <mergeCell ref="C22:M22"/>
    <mergeCell ref="N22:O22"/>
    <mergeCell ref="P22:T22"/>
    <mergeCell ref="U22:W22"/>
    <mergeCell ref="X22:AA22"/>
    <mergeCell ref="AB22:AF22"/>
    <mergeCell ref="AG21:AJ21"/>
    <mergeCell ref="AK21:AN21"/>
    <mergeCell ref="A21:B21"/>
    <mergeCell ref="C21:M21"/>
    <mergeCell ref="N21:O21"/>
    <mergeCell ref="P21:T21"/>
    <mergeCell ref="U21:W21"/>
    <mergeCell ref="X21:AA21"/>
    <mergeCell ref="AB21:AF21"/>
    <mergeCell ref="AG20:AJ20"/>
    <mergeCell ref="AK20:AN20"/>
    <mergeCell ref="A20:B20"/>
    <mergeCell ref="C20:M20"/>
    <mergeCell ref="N20:O20"/>
    <mergeCell ref="P20:T20"/>
    <mergeCell ref="U20:W20"/>
    <mergeCell ref="X20:AA20"/>
    <mergeCell ref="AB20:AF20"/>
    <mergeCell ref="AG19:AJ19"/>
    <mergeCell ref="AK19:AN19"/>
    <mergeCell ref="A18:B18"/>
    <mergeCell ref="A19:B19"/>
    <mergeCell ref="C19:M19"/>
    <mergeCell ref="N19:T19"/>
    <mergeCell ref="U19:W19"/>
    <mergeCell ref="X19:AA19"/>
    <mergeCell ref="AB19:AF19"/>
    <mergeCell ref="AB18:AF18"/>
    <mergeCell ref="AG18:AJ18"/>
    <mergeCell ref="C18:M18"/>
    <mergeCell ref="N18:T18"/>
    <mergeCell ref="U18:W18"/>
    <mergeCell ref="X18:AA18"/>
    <mergeCell ref="AK18:AN18"/>
    <mergeCell ref="C16:M16"/>
    <mergeCell ref="N16:T16"/>
    <mergeCell ref="U16:W16"/>
    <mergeCell ref="X16:AA16"/>
    <mergeCell ref="AB16:AF16"/>
    <mergeCell ref="AG16:AJ16"/>
    <mergeCell ref="AK16:AN16"/>
    <mergeCell ref="A16:B16"/>
    <mergeCell ref="A17:B17"/>
    <mergeCell ref="C17:M17"/>
    <mergeCell ref="N17:T17"/>
    <mergeCell ref="U17:W17"/>
    <mergeCell ref="X17:AA17"/>
    <mergeCell ref="AB17:AF17"/>
    <mergeCell ref="AG17:AJ17"/>
    <mergeCell ref="AK17:AN17"/>
    <mergeCell ref="AG15:AJ15"/>
    <mergeCell ref="AK15:AN15"/>
    <mergeCell ref="A15:B15"/>
    <mergeCell ref="C15:M15"/>
    <mergeCell ref="N15:O15"/>
    <mergeCell ref="P15:T15"/>
    <mergeCell ref="U15:W15"/>
    <mergeCell ref="X15:AA15"/>
    <mergeCell ref="AB15:AF15"/>
  </mergeCells>
  <phoneticPr fontId="8" type="noConversion"/>
  <printOptions horizontalCentered="1"/>
  <pageMargins left="0.39" right="0.39" top="0.59" bottom="0.39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16</vt:i4>
      </vt:variant>
    </vt:vector>
  </HeadingPairs>
  <TitlesOfParts>
    <vt:vector size="16" baseType="lpstr">
      <vt:lpstr>FLANGE</vt:lpstr>
      <vt:lpstr>B FLANGE</vt:lpstr>
      <vt:lpstr>R FLANGE</vt:lpstr>
      <vt:lpstr>P FLANGE</vt:lpstr>
      <vt:lpstr>J FLANGE</vt:lpstr>
      <vt:lpstr>발주서</vt:lpstr>
      <vt:lpstr>미진(1)</vt:lpstr>
      <vt:lpstr>미진(2)</vt:lpstr>
      <vt:lpstr>미진(3)</vt:lpstr>
      <vt:lpstr>미진(4)</vt:lpstr>
      <vt:lpstr>HDX</vt:lpstr>
      <vt:lpstr>HDX (2)</vt:lpstr>
      <vt:lpstr>MSP</vt:lpstr>
      <vt:lpstr>MSP (2)</vt:lpstr>
      <vt:lpstr>DIC</vt:lpstr>
      <vt:lpstr>티아이씨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WOOSUNG</dc:creator>
  <cp:lastModifiedBy>민수 김</cp:lastModifiedBy>
  <cp:lastPrinted>2026-04-01T08:40:10Z</cp:lastPrinted>
  <dcterms:created xsi:type="dcterms:W3CDTF">2020-12-22T03:08:31Z</dcterms:created>
  <dcterms:modified xsi:type="dcterms:W3CDTF">2026-04-01T08:40:13Z</dcterms:modified>
</cp:coreProperties>
</file>